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sion Rate" sheetId="1" r:id="rId5"/>
    <sheet state="visible" name="Methodology" sheetId="2" r:id="rId6"/>
    <sheet state="visible" name="Free Fare Day Adjustment" sheetId="3" r:id="rId7"/>
    <sheet state="visible" name="Bus Ridership" sheetId="4" r:id="rId8"/>
    <sheet state="visible" name="Bus Fare Counts" sheetId="5" r:id="rId9"/>
    <sheet state="visible" name="Station Fare Counts" sheetId="6" r:id="rId10"/>
    <sheet state="visible" name="Rail Ridership" sheetId="7" r:id="rId11"/>
    <sheet state="visible" name="Rail Ridership Raw Data Example" sheetId="8" r:id="rId12"/>
  </sheets>
  <definedNames/>
  <calcPr/>
</workbook>
</file>

<file path=xl/sharedStrings.xml><?xml version="1.0" encoding="utf-8"?>
<sst xmlns="http://schemas.openxmlformats.org/spreadsheetml/2006/main" count="2439" uniqueCount="471">
  <si>
    <r>
      <rPr>
        <rFont val="Overpass"/>
        <b/>
        <color rgb="FFFFFFFF"/>
        <sz val="27.0"/>
      </rPr>
      <t xml:space="preserve"> LA Metro Fare Evasion Dashboard</t>
    </r>
    <r>
      <rPr>
        <rFont val="Overpass"/>
        <b/>
        <color rgb="FFFFFFFF"/>
      </rPr>
      <t xml:space="preserve">
   By Alex Davis        March 2026</t>
    </r>
  </si>
  <si>
    <r>
      <rPr>
        <rFont val="Overpass"/>
        <b/>
        <color rgb="FF666666"/>
      </rPr>
      <t xml:space="preserve">Below is a data-backed estimate of fare evasion on LA Metro, created as part of the Enforce the Fares campaign. Between 2017 and 2020, LA Metro's security department quietly ratcheted down onboard fare checks from around 600,000 a month to just 5,000. Fare evasion skyrocketed, and now, more than half of boardings are unpaid. This policy change cratered fare revenue and worsened safety, but it's not too late to reverse course. To learn more about our campaign to bring back fare checks, visit </t>
    </r>
    <r>
      <rPr>
        <rFont val="Overpass"/>
        <b/>
        <color rgb="FFE70707"/>
        <u/>
      </rPr>
      <t>www.enforcethefares.org</t>
    </r>
    <r>
      <rPr>
        <rFont val="Overpass"/>
        <b/>
        <color rgb="FF666666"/>
      </rPr>
      <t>.</t>
    </r>
  </si>
  <si>
    <t>Route</t>
  </si>
  <si>
    <t>APC Boardings</t>
  </si>
  <si>
    <t>Free Day Adjusted Boardings</t>
  </si>
  <si>
    <t>Paid Entries</t>
  </si>
  <si>
    <t>Fare Evasion Rate</t>
  </si>
  <si>
    <t>Notes</t>
  </si>
  <si>
    <t>Merged Stations (in-gate xfer stations excluded)</t>
  </si>
  <si>
    <t>Boardings with Free Day Adjustment</t>
  </si>
  <si>
    <t>Rail/BRT Station</t>
  </si>
  <si>
    <t>Mode</t>
  </si>
  <si>
    <t>Paid Boardings</t>
  </si>
  <si>
    <t>G Line</t>
  </si>
  <si>
    <t>The fare total for the G Line is calculated by adding together the Station Fare Counts because on the G Line, fares are paid offboard.</t>
  </si>
  <si>
    <t>Willowbrook / Rosa Parks Station - A Line</t>
  </si>
  <si>
    <t>Willowbrook/Rosa Parks (Blue)</t>
  </si>
  <si>
    <t>Bus</t>
  </si>
  <si>
    <t>This is the total fare evasion rate for the whole bus system.</t>
  </si>
  <si>
    <t>Washington Station</t>
  </si>
  <si>
    <t>Washington</t>
  </si>
  <si>
    <t>Rail</t>
  </si>
  <si>
    <t>This is the fare evasion rate for the stations without in-gate transfers.</t>
  </si>
  <si>
    <t>5th Street Station</t>
  </si>
  <si>
    <t>5th Street</t>
  </si>
  <si>
    <t>Adjusted Rail</t>
  </si>
  <si>
    <t>When we excluded the in-gate transfer stations, we lowered the total rail ridership in the calculation. So to get the systemwide evasion rate, we have to adjust the rail totals back up to the total for all stations. In other words, we're assuming that on average, the excluded stations had the same evasion rate as the included stations and adjusting the totals as if they were in the calculation. This appropriately weights the relative ridership of Metro's bus and rail systems.</t>
  </si>
  <si>
    <t>Downtown Long Beach Station</t>
  </si>
  <si>
    <t>Downtown Long Beach</t>
  </si>
  <si>
    <t>Total</t>
  </si>
  <si>
    <t>In 2025, 50% of boardings on LA Metro were unpaid.</t>
  </si>
  <si>
    <t>Farmdale Station</t>
  </si>
  <si>
    <t>Farmdale</t>
  </si>
  <si>
    <t>Attention: This is a roughly half.</t>
  </si>
  <si>
    <t>Pico/Aliso Station</t>
  </si>
  <si>
    <t>Pico/Aliso</t>
  </si>
  <si>
    <t>Slauson Station</t>
  </si>
  <si>
    <t>Slauson</t>
  </si>
  <si>
    <t>Pacific Coast Hwy Station</t>
  </si>
  <si>
    <t>Pacific Coast Highway</t>
  </si>
  <si>
    <t>J Line</t>
  </si>
  <si>
    <t>San Pedro Street Station</t>
  </si>
  <si>
    <t>San Pedro St</t>
  </si>
  <si>
    <t>1st Street Station</t>
  </si>
  <si>
    <t>1st Street</t>
  </si>
  <si>
    <t>Anaheim Street Station</t>
  </si>
  <si>
    <t>Anaheim St</t>
  </si>
  <si>
    <t>Vermont / Athens Station</t>
  </si>
  <si>
    <t>Vermont/Athens</t>
  </si>
  <si>
    <t>103rd Street / Watts Towers Station</t>
  </si>
  <si>
    <t>103rd St/Watts Towers</t>
  </si>
  <si>
    <t>Vernon Station</t>
  </si>
  <si>
    <t>Vernon</t>
  </si>
  <si>
    <t>Expo / Vermont Station</t>
  </si>
  <si>
    <t>Expo/Vermont</t>
  </si>
  <si>
    <t>Redondo Beach Station</t>
  </si>
  <si>
    <t>Redondo Beach</t>
  </si>
  <si>
    <t>Grand / LATTC Station</t>
  </si>
  <si>
    <t>Grand/LATTC</t>
  </si>
  <si>
    <t>Hawthorne / Lennox Station</t>
  </si>
  <si>
    <t>Hawthorne/Lennox</t>
  </si>
  <si>
    <t>17th Street / SMC Station</t>
  </si>
  <si>
    <t>17th St/SMC</t>
  </si>
  <si>
    <t>Expo / Western Station</t>
  </si>
  <si>
    <t>Expo/Western</t>
  </si>
  <si>
    <t>Artesia Station</t>
  </si>
  <si>
    <t>Artesia</t>
  </si>
  <si>
    <t>LATTC / Ortho Institute Station</t>
  </si>
  <si>
    <t>LATTC/Ortho Institute</t>
  </si>
  <si>
    <t>Avalon Station</t>
  </si>
  <si>
    <t>Avalon</t>
  </si>
  <si>
    <t>Pacific Ave Station</t>
  </si>
  <si>
    <t>Pacific Av</t>
  </si>
  <si>
    <t>Compton Station</t>
  </si>
  <si>
    <t>Compton</t>
  </si>
  <si>
    <t>Crenshaw Station</t>
  </si>
  <si>
    <t>Crenshaw</t>
  </si>
  <si>
    <t>Wardlow Station</t>
  </si>
  <si>
    <t>Wardlow</t>
  </si>
  <si>
    <t>Long Beach Blvd Station</t>
  </si>
  <si>
    <t>Lynwood</t>
  </si>
  <si>
    <t>Union Station - A Line</t>
  </si>
  <si>
    <t>Union Station (Blue)</t>
  </si>
  <si>
    <t>Florence Station</t>
  </si>
  <si>
    <t>Florence</t>
  </si>
  <si>
    <t>Atlantic Station</t>
  </si>
  <si>
    <t>Atlantic</t>
  </si>
  <si>
    <t>Maravilla Station</t>
  </si>
  <si>
    <t>Maravilla</t>
  </si>
  <si>
    <t>Lincoln Heights / Cypress Park Station</t>
  </si>
  <si>
    <t>Lincoln/Cypress</t>
  </si>
  <si>
    <t>Harbor Station</t>
  </si>
  <si>
    <t>Harbor Freeway</t>
  </si>
  <si>
    <t>East LA Civic Center Station</t>
  </si>
  <si>
    <t>E LA Civic Center</t>
  </si>
  <si>
    <t>Chinatown Station</t>
  </si>
  <si>
    <t>Chinatown</t>
  </si>
  <si>
    <t>Jefferson / USC Station</t>
  </si>
  <si>
    <t>Jefferson/USC</t>
  </si>
  <si>
    <t>Lakewood Blvd Station</t>
  </si>
  <si>
    <t>Lakewood Bl</t>
  </si>
  <si>
    <t>Willow Street Station</t>
  </si>
  <si>
    <t>Willow St</t>
  </si>
  <si>
    <t>Indiana Station</t>
  </si>
  <si>
    <t>Indiana</t>
  </si>
  <si>
    <t>Pomona North Station</t>
  </si>
  <si>
    <t>Pomona-North</t>
  </si>
  <si>
    <t>Southwest Museum Station</t>
  </si>
  <si>
    <t>Southwest Museum</t>
  </si>
  <si>
    <t>APU Station</t>
  </si>
  <si>
    <t>APU/Citrus College</t>
  </si>
  <si>
    <t>Expo / Crenshaw Station - E Line</t>
  </si>
  <si>
    <t>Expo/Crenshaw - Expo</t>
  </si>
  <si>
    <t>Fairview Heights Station</t>
  </si>
  <si>
    <t>Fairview Heights</t>
  </si>
  <si>
    <t>Del Amo Station</t>
  </si>
  <si>
    <t>Del Amo</t>
  </si>
  <si>
    <t>Expo / La Brea / Ethel Bradley Station</t>
  </si>
  <si>
    <t>Expo/La Brea</t>
  </si>
  <si>
    <t>Fillmore Station</t>
  </si>
  <si>
    <t>Fillmore</t>
  </si>
  <si>
    <t>Leimert Park Station</t>
  </si>
  <si>
    <t>Leimert Park</t>
  </si>
  <si>
    <t>Norwalk Station</t>
  </si>
  <si>
    <t>Norwalk</t>
  </si>
  <si>
    <t>Duarte / City of Hope Station</t>
  </si>
  <si>
    <t>Duarte/City of Hope</t>
  </si>
  <si>
    <t>Azusa Downtown Station</t>
  </si>
  <si>
    <t>Azusa Downtown</t>
  </si>
  <si>
    <t>Heritage Square / Arroyo Station</t>
  </si>
  <si>
    <t>Heritage Square</t>
  </si>
  <si>
    <t>Westlake / MacArthur Park Station</t>
  </si>
  <si>
    <t>Westlake/MacArthur Park</t>
  </si>
  <si>
    <t>Hyde Park Station</t>
  </si>
  <si>
    <t>Hyde Park</t>
  </si>
  <si>
    <t>Soto Station</t>
  </si>
  <si>
    <t>Soto</t>
  </si>
  <si>
    <t>Highland Park Station</t>
  </si>
  <si>
    <t>Highland Park</t>
  </si>
  <si>
    <t>Aviation Station</t>
  </si>
  <si>
    <t>Aviation/Imperial</t>
  </si>
  <si>
    <t>26th Street / Bergamot Station</t>
  </si>
  <si>
    <t>26th St/Bergamot</t>
  </si>
  <si>
    <t>Irwindale Station</t>
  </si>
  <si>
    <t>Irwindale</t>
  </si>
  <si>
    <t>Downtown Inglewood Station</t>
  </si>
  <si>
    <t>Downtown Inglewood</t>
  </si>
  <si>
    <t>Westchester Station</t>
  </si>
  <si>
    <t>Westchester/Veterans</t>
  </si>
  <si>
    <t>Firestone Station</t>
  </si>
  <si>
    <t>Firestone</t>
  </si>
  <si>
    <t>Monrovia Station</t>
  </si>
  <si>
    <t>Monrovia</t>
  </si>
  <si>
    <t>Del Mar Station</t>
  </si>
  <si>
    <t>Del Mar</t>
  </si>
  <si>
    <t>Douglas Station</t>
  </si>
  <si>
    <t>Douglas</t>
  </si>
  <si>
    <t>Mariposa Station</t>
  </si>
  <si>
    <t>Mariposa</t>
  </si>
  <si>
    <t>South Pasadena Station</t>
  </si>
  <si>
    <t>South Pasadena</t>
  </si>
  <si>
    <t>Vermont / Beverly Station</t>
  </si>
  <si>
    <t>Vermont/Beverly</t>
  </si>
  <si>
    <t>Arcadia Station</t>
  </si>
  <si>
    <t>Arcadia</t>
  </si>
  <si>
    <t>Memorial Park Station</t>
  </si>
  <si>
    <t>Memorial Park</t>
  </si>
  <si>
    <t>La Cienega / Jefferson Station</t>
  </si>
  <si>
    <t>La Cienega/Jefferson</t>
  </si>
  <si>
    <t>Westwood / Rancho Park Station</t>
  </si>
  <si>
    <t>Westwood/Rancho Park</t>
  </si>
  <si>
    <t>Expo / Bundy Station</t>
  </si>
  <si>
    <t>Expo/Bundy</t>
  </si>
  <si>
    <t>Mariachi Plaza / Boyle Heights Station</t>
  </si>
  <si>
    <t>Mariachi Plaza</t>
  </si>
  <si>
    <t>Martin Luther King Station</t>
  </si>
  <si>
    <t>Martin Luther King Jr</t>
  </si>
  <si>
    <t>Wilshire / Western Station</t>
  </si>
  <si>
    <t>Wilshire/Western</t>
  </si>
  <si>
    <t>Culver City Station</t>
  </si>
  <si>
    <t>Culver City</t>
  </si>
  <si>
    <t>Expo / Sepulveda Station</t>
  </si>
  <si>
    <t>Expo/Sepulveda</t>
  </si>
  <si>
    <t>El Segundo Station</t>
  </si>
  <si>
    <t>El Segundo</t>
  </si>
  <si>
    <t>Willowbrook / Rosa Parks Station - C Line</t>
  </si>
  <si>
    <t>Willowbrook/Rosa Parks (Green)</t>
  </si>
  <si>
    <t>Expo Park / USC Station</t>
  </si>
  <si>
    <t>Expo Park/USC</t>
  </si>
  <si>
    <t>Civic Center / Grand Park Station</t>
  </si>
  <si>
    <t>Civic Center/Grand Park</t>
  </si>
  <si>
    <t>Expo / Crenshaw Station - K Line</t>
  </si>
  <si>
    <t>Expo/Crenshaw - CLAX</t>
  </si>
  <si>
    <t>Sierra Madre Villa Station</t>
  </si>
  <si>
    <t>Sierra Madre Villa</t>
  </si>
  <si>
    <t>Pershing Square Station</t>
  </si>
  <si>
    <t>Pershing Square</t>
  </si>
  <si>
    <t>Wilshire / Normandie Station</t>
  </si>
  <si>
    <t>Wilshire/Normandie</t>
  </si>
  <si>
    <t>Allen Station</t>
  </si>
  <si>
    <t>Allen</t>
  </si>
  <si>
    <t>Grand Arts / Bunker Hill Station</t>
  </si>
  <si>
    <t>Grand Av Arts/Bunker Hill</t>
  </si>
  <si>
    <t>Hollywood / Vine Station</t>
  </si>
  <si>
    <t>Hollywood/Vine</t>
  </si>
  <si>
    <t>Historic Broadway Station</t>
  </si>
  <si>
    <t>Historic Broadway</t>
  </si>
  <si>
    <t>Vermont / Santa Monica Station</t>
  </si>
  <si>
    <t>Vermont/Santa Monica</t>
  </si>
  <si>
    <t>San Dimas Station</t>
  </si>
  <si>
    <t>San Dimas</t>
  </si>
  <si>
    <t>La Verne / Fairplex Station</t>
  </si>
  <si>
    <t>La Verne/Fairplex</t>
  </si>
  <si>
    <t>Universal / Studio City Station</t>
  </si>
  <si>
    <t>Universal City/Studio City</t>
  </si>
  <si>
    <t>Vermont / Sunset Station</t>
  </si>
  <si>
    <t>Vermont/Sunset</t>
  </si>
  <si>
    <t>Glendora Station</t>
  </si>
  <si>
    <t>Glendora</t>
  </si>
  <si>
    <t>Hollywood / Western Station</t>
  </si>
  <si>
    <t>Hollywood/Western</t>
  </si>
  <si>
    <t>Palms Station</t>
  </si>
  <si>
    <t>Palms</t>
  </si>
  <si>
    <t>Hollywood / Highland Station</t>
  </si>
  <si>
    <t>Hollywood/Highland</t>
  </si>
  <si>
    <t>Lake Station</t>
  </si>
  <si>
    <t>Lake</t>
  </si>
  <si>
    <t>Downtown Santa Monica Station</t>
  </si>
  <si>
    <t>Downtown Santa Monica</t>
  </si>
  <si>
    <t>Union Station - Metro Red &amp; Purple Lines</t>
  </si>
  <si>
    <t>Union Station (Red)</t>
  </si>
  <si>
    <t>North Hollywood Station</t>
  </si>
  <si>
    <t>North Hollywood (Red)</t>
  </si>
  <si>
    <t>This is likely a result of TAP-to-Exit. In 2025, the TAP-to-Exit pilot caused many B Line fare evaders to end up getting charged at North Hollywood when exiting, resulting in more fares than boardings. To be clear, I freely concede that TAP-to-Exit works at individual stations. My point is that it only works when TSOs are present and that's what's causing the fare compliance, not the tapping proceedure. And we'll never have enough TSOs to babysit even half the system's faregates. TAP-to-Exit is a performative distraction from the real solution: fare checks.</t>
  </si>
  <si>
    <t>N/A</t>
  </si>
  <si>
    <t>This was the bus Metro operated to link the two K Line fragments before the line was completed in June 2025. While its ridership was properly tabulated, its fare data got dumped into the "unclassified" row.</t>
  </si>
  <si>
    <t>Misclassified</t>
  </si>
  <si>
    <t>These fares were accidentally attributed to bus routes that were not operating in 2025. They are data errors and represent about 0.14% of the total fares paid. But we are including them anyway because they were likely real fares paid on other routes.</t>
  </si>
  <si>
    <t>Unclassified</t>
  </si>
  <si>
    <t>These are also real fares that were paid. We just don't know where because they weren't attributed to any specific route. We believe these are primarily from temporary routes like the 857.</t>
  </si>
  <si>
    <r>
      <rPr>
        <b/>
      </rPr>
      <t>How I Calculated LA Metro's 2025 Fare Evasion Rate</t>
    </r>
    <r>
      <rPr/>
      <t xml:space="preserve">
This is an explanation of how I (Alex Davis) calculated LA Metro's fare evasion rate by comparing route and station-level fare data against ridership totals. I did this in March 2026 as part of the Enforce the Fares campaign. To learn more, visit </t>
    </r>
    <r>
      <rPr>
        <color rgb="FF000000"/>
      </rPr>
      <t>www.enforcethefares.org</t>
    </r>
    <r>
      <rPr/>
      <t xml:space="preserve">. Below, I've provided the full end-to-end methodology so you can check my work. If you spot any error or oversight in my methodology, please reach out to ametroworthpayingfor@gmail.com.
</t>
    </r>
    <r>
      <rPr>
        <b/>
      </rPr>
      <t>This process started with five sources of data:</t>
    </r>
    <r>
      <rPr/>
      <t xml:space="preserve">
</t>
    </r>
    <r>
      <rPr>
        <b/>
      </rPr>
      <t>1. 2025 bus route ridership from LA Metro's ridership data portal. (https://opa.metro.net/MetroRidership/) You can view this data in the Bus Ridership sheet.</t>
    </r>
    <r>
      <rPr/>
      <t xml:space="preserve">
This data was collected by the automated passenger counters (APCs) above the doors on buses, so it includes everyone who boards the bus, even those who don't pay.
</t>
    </r>
    <r>
      <rPr>
        <b/>
      </rPr>
      <t>2. 2025 bus fare totals. (Records request) You can view the original, unmodified records request response data in the Bus Fare Counts sheet.</t>
    </r>
    <r>
      <rPr/>
      <t xml:space="preserve">
This is a measure of the total authorized entries to the bus routes. It's created by adding together the TAP fares, cash fares, discount pass taps (GoPass, LIFE, etc) and TAP transfers. This is then compared against the total APC boardings to reveal the fare evasion rate.
</t>
    </r>
    <r>
      <rPr>
        <b/>
      </rPr>
      <t xml:space="preserve">3. 2025 rail and G Line station fare totals. (Records request) You can view the original, unmodified* request response in the Rail Fare Counts sheet. (*Metro included the G Line stations in this table along with a random bus loop. I have sorted those into their own sections for improved legibility.)
</t>
    </r>
    <r>
      <rPr/>
      <t xml:space="preserve">This is also a measure of total authorized entries to rail stations. On the rail system, fares are paid at the station, not on the train. So at stations with multiple train lines, we typically only have the total for all trains. That means we have to calculate rail fare evasion by station, not line. The G Line is also included in this table, since its fares are also collected offboard.
</t>
    </r>
    <r>
      <rPr>
        <b/>
      </rPr>
      <t>4. 2025 rail station ridership totals. (Records request) These totals were extrapolated from month-by-month daily averages, which you can see an example of in the "Rail Ridership Raw Data Example" sheet.</t>
    </r>
    <r>
      <rPr/>
      <t xml:space="preserve">
This data was collected by the APCs onboard trains, so it includes everyone who boards the train, even those who don't pay.
</t>
    </r>
    <r>
      <rPr>
        <b/>
      </rPr>
      <t xml:space="preserve">6. 2025 fare free days. (Social media) </t>
    </r>
    <r>
      <rPr/>
      <t xml:space="preserve">I just googled and asked around to figure out how many official free fare days there were in 2025. The sources are listed in the Free Fare Day Adjustment
</t>
    </r>
    <r>
      <rPr>
        <b/>
      </rPr>
      <t>Bus Methodology</t>
    </r>
    <r>
      <rPr/>
      <t xml:space="preserve">
Buses are simple. I calculated the bus fare evasion rate by subtracting the total fare count from the ridership for each line. For the G Line, I added up all the fare payments across all of the G Line's stations. There were some anomalies (like bus fares attributed to routes no longer operating), but these represented less than 0.2% of total ridership.
</t>
    </r>
    <r>
      <rPr>
        <b/>
      </rPr>
      <t xml:space="preserve">Rail Methodology
</t>
    </r>
    <r>
      <rPr/>
      <t xml:space="preserve">Rail was more complicated. Metro's Records Management Center was unable to give me the total APC boardings for every rail station in 2025. Instead, the data was stored in 12 separate files (one for each month). And instead of totals, the ridership was averages for weekdays, Saturdays and Sundays. To get the totals, I multiplied these numbers by the number of that day type there were in that month. You can see an example of this process in the "Rail Ridership Raw Data Example" sheet. You can see the outputs for each month on the right side of the Rail Ridership sheet. (Notice, not all the months have the same number of stations. This is because of the LAX and Pomona extension openings.) I then added up the ridership in all 12 months for every station. Then I cleaned the data by combining station codes that represented different lines in the same station and any other case where multiple codes referred to the same station. I also removed 7th/Metro Center, Aviation/Century, LAX, Pico, Wilshire/Vermont and Little Tokyo. That's because these stations allow riders to transfer inside of the faregates, which would create an APC boarding but not a TAP transfer. Since these boardings would be indistinguishable from fare evasion, I've excluded these stations from the calculation. In the evasion rate table, you'll notice that the ridership data and fare data use different formats for the station names. I matched these up manually and am showing the original names for methodological transparency.
</t>
    </r>
    <r>
      <rPr>
        <b/>
      </rPr>
      <t xml:space="preserve">Free Fare Days
</t>
    </r>
    <r>
      <rPr/>
      <t>In 2025, LA Metro officially suspended fare collection on 29 days. 5 were to celebrate rail extension openings, 6 were on holidays and 18 were during the January 2025 LA wildfire emergency, when the Board suspended fare collection for two weeks as an emergency measure. People boarding without paying on these days aren't evading, so to calculate fare evasion rates, we need to exclude these boardings from the totals. To estimate the number of free day boardings, I assumbed that each day has the same number boardings as its day type average in its month. I then added up the 2025 total and divided it by the ridership for the whole year (one for bus and one for rail). This created the Free Day Adjustment Factor, which I multiplied by the APC boardings for routes and stations.</t>
    </r>
    <r>
      <rPr>
        <b/>
      </rPr>
      <t xml:space="preserve">
</t>
    </r>
    <r>
      <rPr/>
      <t xml:space="preserve"> 
</t>
    </r>
    <r>
      <rPr>
        <b/>
      </rPr>
      <t>Putting it All Together</t>
    </r>
    <r>
      <rPr/>
      <t xml:space="preserve">
There's one more step. To get the systemwide fare evasion rate, we just add together the free day adjusted rail boardings and bus boardings, and compare them against the rail fares and bus fares. The problem is that when we excluded the six in-gate transfer stations, we reduced the rail totals. So to keep the bus-rail ratio accurate, we bring back the original total ridership and increase the fare count by that same percentage. In other words, we are assuming that the excluded stations had on average the same evasion rate as the others. This result, added with the bus totals, gives us the final fare evasion rate for the entire system.</t>
    </r>
  </si>
  <si>
    <t>7th/Metro Center, Aviation/Century, LAX, Pico, Wilshire/Vermont, Little Tokyo</t>
  </si>
  <si>
    <t>Free days in 2025</t>
  </si>
  <si>
    <t>Estimated Bus Ridership</t>
  </si>
  <si>
    <t>Estimated Rail Ridership</t>
  </si>
  <si>
    <t>Reference</t>
  </si>
  <si>
    <t>Reason</t>
  </si>
  <si>
    <t>Free Day Adjustment Factors</t>
  </si>
  <si>
    <t>Jan Wkdy</t>
  </si>
  <si>
    <t>Emergency Suspension for LA Fires</t>
  </si>
  <si>
    <t>Jan Sat</t>
  </si>
  <si>
    <t>Jan Sun</t>
  </si>
  <si>
    <t>Sources:</t>
  </si>
  <si>
    <t>https://www.instagram.com/p/DFgp3ejSsfY/?igsh=NTc4MTIwNjQ2YQ==</t>
  </si>
  <si>
    <t>https://www.dailynews.com/2025/01/25/after-wildfire-pause-la-metro-will-start-collecting-fares-again-on-monday/</t>
  </si>
  <si>
    <t>https://laist.com/news/transportation/la-metro-lax-airport-people-mover</t>
  </si>
  <si>
    <t>https://thesource.metro.net/how-to-ride-the-a-line-extension-to-glendora-san-dimas-la-verne-fairplex-and-pomona-north/</t>
  </si>
  <si>
    <t>Feb Wkdy</t>
  </si>
  <si>
    <t>Transit Equity Day</t>
  </si>
  <si>
    <t>Apr Wkdy</t>
  </si>
  <si>
    <t>Earth Day</t>
  </si>
  <si>
    <t>May Wkdy</t>
  </si>
  <si>
    <t>Bike to Work Day</t>
  </si>
  <si>
    <t>Oct Wkdy</t>
  </si>
  <si>
    <t>CA Clean Air Day</t>
  </si>
  <si>
    <t>Dec Wkdy</t>
  </si>
  <si>
    <t>Christmas Eve</t>
  </si>
  <si>
    <t>Dec Sun</t>
  </si>
  <si>
    <t>New Years Eve</t>
  </si>
  <si>
    <t>Jun Wkdy</t>
  </si>
  <si>
    <t>LAX Opening Weekend</t>
  </si>
  <si>
    <t>Jun Sat</t>
  </si>
  <si>
    <t>Sep Wkdy</t>
  </si>
  <si>
    <t>Pomona North Opening Weekend</t>
  </si>
  <si>
    <t>Sep Sat</t>
  </si>
  <si>
    <t>Sep Sun</t>
  </si>
  <si>
    <t>Line</t>
  </si>
  <si>
    <t>Ridership</t>
  </si>
  <si>
    <t>Bus Route</t>
  </si>
  <si>
    <t>Cash</t>
  </si>
  <si>
    <t>TAP Discount Fares</t>
  </si>
  <si>
    <t>TAP Fares</t>
  </si>
  <si>
    <t>TAP Transfers</t>
  </si>
  <si>
    <t>Total Paid Boardings</t>
  </si>
  <si>
    <t>All Bus Totals</t>
  </si>
  <si>
    <t>Rail Station</t>
  </si>
  <si>
    <t>TAP Transfer</t>
  </si>
  <si>
    <t>Total Paid Entries</t>
  </si>
  <si>
    <t>G Line Station</t>
  </si>
  <si>
    <t>Anomaly</t>
  </si>
  <si>
    <t>Balboa</t>
  </si>
  <si>
    <t>CSUN Transit Center</t>
  </si>
  <si>
    <t>Canoga</t>
  </si>
  <si>
    <t>Note: Cal State Northridge doesn't have offboard fare collection, but Metro included this anyway. Your guess as to why is as good as mine.</t>
  </si>
  <si>
    <t>Chatsworth</t>
  </si>
  <si>
    <t>De Soto</t>
  </si>
  <si>
    <t>Laurel Canyon</t>
  </si>
  <si>
    <t>7th St/Metro Center (Blue)</t>
  </si>
  <si>
    <t>Nordhoff</t>
  </si>
  <si>
    <t>7th St/Metro Center (Red)</t>
  </si>
  <si>
    <t>North Hollywood (Orange)</t>
  </si>
  <si>
    <t>Pierce College</t>
  </si>
  <si>
    <t>Reseda</t>
  </si>
  <si>
    <t>Roscoe</t>
  </si>
  <si>
    <t>Sepulveda</t>
  </si>
  <si>
    <t>Sherman Way</t>
  </si>
  <si>
    <t>Tampa</t>
  </si>
  <si>
    <t>Valley College</t>
  </si>
  <si>
    <t>Aviation/Century</t>
  </si>
  <si>
    <t>Van Nuys</t>
  </si>
  <si>
    <t>Woodley</t>
  </si>
  <si>
    <t>Woodman</t>
  </si>
  <si>
    <t>G Line Total</t>
  </si>
  <si>
    <t>LAX/Metro Transit Center</t>
  </si>
  <si>
    <t>Little Tokyo/Arts District</t>
  </si>
  <si>
    <t>Pico</t>
  </si>
  <si>
    <t>Wilshire/Vermont</t>
  </si>
  <si>
    <t>Rail Total</t>
  </si>
  <si>
    <t>2025 Totals (metro station codes)</t>
  </si>
  <si>
    <t>2025 Boardings</t>
  </si>
  <si>
    <t>January</t>
  </si>
  <si>
    <t>February</t>
  </si>
  <si>
    <t>March</t>
  </si>
  <si>
    <t>April</t>
  </si>
  <si>
    <t>May</t>
  </si>
  <si>
    <t>June</t>
  </si>
  <si>
    <t>July</t>
  </si>
  <si>
    <t>August</t>
  </si>
  <si>
    <t>September</t>
  </si>
  <si>
    <t>October</t>
  </si>
  <si>
    <t>November</t>
  </si>
  <si>
    <t>December</t>
  </si>
  <si>
    <t>0001-Downtown Santa Monica Station</t>
  </si>
  <si>
    <t>0002-17th Street / SMC Station</t>
  </si>
  <si>
    <t>0003-26th Street / Bergamot Station</t>
  </si>
  <si>
    <t>0004-Expo / Bundy Station</t>
  </si>
  <si>
    <t>0005-Expo / Sepulveda Station</t>
  </si>
  <si>
    <t>0006-Westwood / Rancho Park Station</t>
  </si>
  <si>
    <t>0007-Palms Station</t>
  </si>
  <si>
    <t>0008-Culver City Station</t>
  </si>
  <si>
    <t>0009-La Cienega / Jefferson Station</t>
  </si>
  <si>
    <t>0010-Expo / La Brea / Ethel Bradley Station</t>
  </si>
  <si>
    <t>0011-Farmdale Station</t>
  </si>
  <si>
    <t>0012-Expo / Crenshaw Station - E Line</t>
  </si>
  <si>
    <t>0013-Expo / Western Station</t>
  </si>
  <si>
    <t>0014-Expo / Vermont Station</t>
  </si>
  <si>
    <t>0015-Expo Park / USC Station</t>
  </si>
  <si>
    <t>0016-Jefferson / USC Station</t>
  </si>
  <si>
    <t>0017-LATTC / Ortho Institute Station</t>
  </si>
  <si>
    <t>0018-Pico Station</t>
  </si>
  <si>
    <t>0019-7th Street / Metro Center Station - A / E Line</t>
  </si>
  <si>
    <t>0020-Grand Arts / Bunker Hill Station</t>
  </si>
  <si>
    <t>0021-Historic Broadway Station</t>
  </si>
  <si>
    <t>0022-Little Tokyo / Arts District Station</t>
  </si>
  <si>
    <t>0023-Pico/Aliso Station</t>
  </si>
  <si>
    <t>0024-Mariachi Plaza / Boyle Heights Station</t>
  </si>
  <si>
    <t>0025-Soto Station</t>
  </si>
  <si>
    <t>0026-Indiana Station</t>
  </si>
  <si>
    <t>0027-Maravilla Station</t>
  </si>
  <si>
    <t>0028-East LA Civic Center Station</t>
  </si>
  <si>
    <t>0029-Atlantic Station</t>
  </si>
  <si>
    <t>1001-Downtown Long Beach Station</t>
  </si>
  <si>
    <t>1002-Pacific Ave Station</t>
  </si>
  <si>
    <t>1003-1st Street Station</t>
  </si>
  <si>
    <t>1004-5th Street Station</t>
  </si>
  <si>
    <t>1005-Anaheim Street Station</t>
  </si>
  <si>
    <t>1006-Pacific Coast Hwy Station</t>
  </si>
  <si>
    <t>1007-Willow Street Station</t>
  </si>
  <si>
    <t>1008-Wardlow Station</t>
  </si>
  <si>
    <t>1009-Del Amo Station</t>
  </si>
  <si>
    <t>1010-Artesia Station</t>
  </si>
  <si>
    <t>1011-Compton Station</t>
  </si>
  <si>
    <t>1012-Willowbrook / Rosa Parks Station - A Line</t>
  </si>
  <si>
    <t>1013-103rd Street / Watts Towers Station</t>
  </si>
  <si>
    <t>1014-Firestone Station</t>
  </si>
  <si>
    <t>1015-Florence Station</t>
  </si>
  <si>
    <t>1016-Slauson Station</t>
  </si>
  <si>
    <t>1017-Vernon Station</t>
  </si>
  <si>
    <t>1018-Washington Station</t>
  </si>
  <si>
    <t>1019-San Pedro Street Station</t>
  </si>
  <si>
    <t>1020-Grand / LATTC Station</t>
  </si>
  <si>
    <t>1021-Pico Station</t>
  </si>
  <si>
    <t>1022-7th Street / Metro Center Station - A / E Line</t>
  </si>
  <si>
    <t>1023-Grand Arts / Bunker Hill Station</t>
  </si>
  <si>
    <t>1024-Historic Broadway Station</t>
  </si>
  <si>
    <t>1025-Little Tokyo / Arts District Station</t>
  </si>
  <si>
    <t>1026-Union Station - A Line</t>
  </si>
  <si>
    <t>1027-Chinatown Station</t>
  </si>
  <si>
    <t>1028-Lincoln Heights / Cypress Park Station</t>
  </si>
  <si>
    <t>1029-Heritage Square / Arroyo Station</t>
  </si>
  <si>
    <t>1030-Southwest Museum Station</t>
  </si>
  <si>
    <t>1031-Highland Park Station</t>
  </si>
  <si>
    <t>1032-South Pasadena Station</t>
  </si>
  <si>
    <t>1033-Fillmore Station</t>
  </si>
  <si>
    <t>1034-Del Mar Station</t>
  </si>
  <si>
    <t>1035-Memorial Park Station</t>
  </si>
  <si>
    <t>1036-Lake Station</t>
  </si>
  <si>
    <t>1037-Allen Station</t>
  </si>
  <si>
    <t>1038-Sierra Madre Villa Station</t>
  </si>
  <si>
    <t>1039-Arcadia Station</t>
  </si>
  <si>
    <t>1040-Monrovia Station</t>
  </si>
  <si>
    <t>1041-Duarte / City of Hope Station</t>
  </si>
  <si>
    <t>1042-Irwindale Station</t>
  </si>
  <si>
    <t>1043-Azusa Downtown Station</t>
  </si>
  <si>
    <t>1044-APU Station</t>
  </si>
  <si>
    <t>1045-Glendora Station</t>
  </si>
  <si>
    <t>3001-Norwalk Station</t>
  </si>
  <si>
    <t>1046-San Dimas Station</t>
  </si>
  <si>
    <t>3002-Lakewood Blvd Station</t>
  </si>
  <si>
    <t>1047-La Verne / Fairplex Station</t>
  </si>
  <si>
    <t>3003-Long Beach Blvd Station</t>
  </si>
  <si>
    <t>1048-Pomona North Station</t>
  </si>
  <si>
    <t>3004-Willowbrook / Rosa Parks Station - C Line</t>
  </si>
  <si>
    <t>3005-Avalon Station</t>
  </si>
  <si>
    <t>3006-Harbor Station</t>
  </si>
  <si>
    <t>3007-Vermont / Athens Station</t>
  </si>
  <si>
    <t>3008-Crenshaw Station</t>
  </si>
  <si>
    <t>3009-Hawthorne / Lennox Station</t>
  </si>
  <si>
    <t>3010-Aviation Station</t>
  </si>
  <si>
    <t>3011-Aviation Century Station - C Line</t>
  </si>
  <si>
    <t>4001-Union Station - Metro Red &amp; Purple Lines</t>
  </si>
  <si>
    <t>3012-AMC / LAX Station - C Line</t>
  </si>
  <si>
    <t>4002-Civic Center / Grand Park Station</t>
  </si>
  <si>
    <t>4003-Pershing Square Station</t>
  </si>
  <si>
    <t>4004-7th Street / Metro Center Station - Metro Red &amp; Purple Lines</t>
  </si>
  <si>
    <t>4005-Westlake / MacArthur Park Station</t>
  </si>
  <si>
    <t>4006-Wilshire / Vermont Station</t>
  </si>
  <si>
    <t>4007-Vermont / Beverly Station</t>
  </si>
  <si>
    <t>4008-Vermont / Santa Monica Station</t>
  </si>
  <si>
    <t>4009-Vermont / Sunset Station</t>
  </si>
  <si>
    <t>4010-Hollywood / Western Station</t>
  </si>
  <si>
    <t>4011-Hollywood / Vine Station</t>
  </si>
  <si>
    <t>4012-Hollywood / Highland Station</t>
  </si>
  <si>
    <t>4013-Universal / Studio City Station</t>
  </si>
  <si>
    <t>4014-North Hollywood Station</t>
  </si>
  <si>
    <t>5001-Union Station - Metro Red &amp; Purple Lines</t>
  </si>
  <si>
    <t>5002-Civic Center / Grand Park Station</t>
  </si>
  <si>
    <t>6001-Expo / Crenshaw Station - K Line</t>
  </si>
  <si>
    <t>5003-Pershing Square Station</t>
  </si>
  <si>
    <t>6002-Martin Luther King Station</t>
  </si>
  <si>
    <t>5004-7th Street / Metro Center Station - Metro Red &amp; Purple Lines</t>
  </si>
  <si>
    <t>6003-Leimert Park Station</t>
  </si>
  <si>
    <t>5005-Westlake / MacArthur Park Station</t>
  </si>
  <si>
    <t>6004-Hyde Park Station</t>
  </si>
  <si>
    <t>5006-Wilshire / Vermont Station</t>
  </si>
  <si>
    <t>6005-Fairview Heights Station</t>
  </si>
  <si>
    <t>5007-Wilshire / Normandie Station</t>
  </si>
  <si>
    <t>6006-Downtown Inglewood Station</t>
  </si>
  <si>
    <t>5008-Wilshire / Western Station</t>
  </si>
  <si>
    <t>6007-Westchester Station</t>
  </si>
  <si>
    <t>6008-AMC / LAX Station - K Line</t>
  </si>
  <si>
    <t>6009-Aviation Century Station - K Line</t>
  </si>
  <si>
    <t>6010-Mariposa Station</t>
  </si>
  <si>
    <t>6011-El Segundo Station</t>
  </si>
  <si>
    <t>6012-Douglas Station</t>
  </si>
  <si>
    <t>6013-Redondo Beach Station</t>
  </si>
  <si>
    <t>6008-Aviation Century Station - K Line</t>
  </si>
  <si>
    <t>6009-Mariposa Station</t>
  </si>
  <si>
    <t>6010-El Segundo Station</t>
  </si>
  <si>
    <t>6011-Douglas Station</t>
  </si>
  <si>
    <t>6012-Redondo Beach Station</t>
  </si>
  <si>
    <t>Day_Type_Desc</t>
  </si>
  <si>
    <t>Weekday</t>
  </si>
  <si>
    <t>Saturday</t>
  </si>
  <si>
    <t>Sunday</t>
  </si>
  <si>
    <t>Station Code</t>
  </si>
  <si>
    <t>Monthly Total Extrapolation Formula</t>
  </si>
  <si>
    <t>Station Order</t>
  </si>
  <si>
    <t>Ons</t>
  </si>
  <si>
    <t>Offs</t>
  </si>
  <si>
    <t>Activity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</si>
</sst>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ddd&quot;, &quot;mmmm&quot; &quot;d&quot;, &quot;yyyy"/>
  </numFmts>
  <fonts count="27">
    <font>
      <sz val="10.0"/>
      <color rgb="FF000000"/>
      <name val="Arial"/>
      <scheme val="minor"/>
    </font>
    <font>
      <b/>
      <color rgb="FFFFFFFF"/>
      <name val="Overpass"/>
    </font>
    <font>
      <b/>
      <color rgb="FFFFFFFF"/>
      <name val="Arial"/>
      <scheme val="minor"/>
    </font>
    <font>
      <color rgb="FFFFFFFF"/>
      <name val="Arial"/>
      <scheme val="minor"/>
    </font>
    <font>
      <b/>
      <u/>
      <color rgb="FF666666"/>
      <name val="Overpass"/>
    </font>
    <font>
      <b/>
      <color rgb="FF666666"/>
      <name val="Arial"/>
      <scheme val="minor"/>
    </font>
    <font>
      <color rgb="FF666666"/>
      <name val="Arial"/>
      <scheme val="minor"/>
    </font>
    <font>
      <b/>
      <color theme="1"/>
      <name val="Overpass"/>
    </font>
    <font>
      <color theme="1"/>
      <name val="Overpass"/>
    </font>
    <font>
      <b/>
      <color rgb="FF000000"/>
      <name val="Overpass"/>
    </font>
    <font>
      <b/>
      <color rgb="FF000000"/>
      <name val="Arial"/>
      <scheme val="minor"/>
    </font>
    <font>
      <b/>
      <color theme="1"/>
      <name val="Arial"/>
      <scheme val="minor"/>
    </font>
    <font>
      <color theme="1"/>
      <name val="Arial"/>
      <scheme val="minor"/>
    </font>
    <font>
      <color rgb="FFB7B7B7"/>
      <name val="Arial"/>
      <scheme val="minor"/>
    </font>
    <font>
      <b/>
      <sz val="20.0"/>
      <color rgb="FFFFFFFF"/>
      <name val="Arial"/>
      <scheme val="minor"/>
    </font>
    <font>
      <u/>
      <color rgb="FF0000FF"/>
    </font>
    <font>
      <u/>
      <color rgb="FF0000FF"/>
    </font>
    <font>
      <u/>
      <color rgb="FF0000FF"/>
    </font>
    <font>
      <u/>
      <color rgb="FF0000FF"/>
    </font>
    <font>
      <color rgb="FF434343"/>
      <name val="Arial"/>
      <scheme val="minor"/>
    </font>
    <font>
      <color rgb="FF333333"/>
      <name val="Arial"/>
      <scheme val="minor"/>
    </font>
    <font>
      <b/>
      <sz val="10.0"/>
      <color rgb="FFFFFFFF"/>
      <name val="Overpass"/>
    </font>
    <font>
      <sz val="10.0"/>
      <color theme="1"/>
      <name val="Overpass"/>
    </font>
    <font>
      <sz val="11.0"/>
      <color theme="1"/>
      <name val="&quot;Aptos Narrow&quot;"/>
    </font>
    <font>
      <b/>
      <sz val="11.0"/>
      <color theme="1"/>
      <name val="Arial"/>
    </font>
    <font>
      <b/>
      <sz val="11.0"/>
      <color theme="1"/>
      <name val="&quot;Aptos Narrow&quot;"/>
    </font>
    <font/>
  </fonts>
  <fills count="14">
    <fill>
      <patternFill patternType="none"/>
    </fill>
    <fill>
      <patternFill patternType="lightGray"/>
    </fill>
    <fill>
      <patternFill patternType="solid">
        <fgColor rgb="FFE70707"/>
        <bgColor rgb="FFE70707"/>
      </patternFill>
    </fill>
    <fill>
      <patternFill patternType="solid">
        <fgColor rgb="FFFCE5CD"/>
        <bgColor rgb="FFFCE5CD"/>
      </patternFill>
    </fill>
    <fill>
      <patternFill patternType="solid">
        <fgColor rgb="FFFDF8C0"/>
        <bgColor rgb="FFFDF8C0"/>
      </patternFill>
    </fill>
    <fill>
      <patternFill patternType="solid">
        <fgColor rgb="FFFFF2CC"/>
        <bgColor rgb="FFFFF2CC"/>
      </patternFill>
    </fill>
    <fill>
      <patternFill patternType="solid">
        <fgColor theme="5"/>
        <bgColor theme="5"/>
      </patternFill>
    </fill>
    <fill>
      <patternFill patternType="solid">
        <fgColor rgb="FFFFFFFF"/>
        <bgColor rgb="FFFFFFFF"/>
      </patternFill>
    </fill>
    <fill>
      <patternFill patternType="solid">
        <fgColor rgb="FFFF6C00"/>
        <bgColor rgb="FFFF6C00"/>
      </patternFill>
    </fill>
    <fill>
      <patternFill patternType="solid">
        <fgColor rgb="FFFF9900"/>
        <bgColor rgb="FFFF9900"/>
      </patternFill>
    </fill>
    <fill>
      <patternFill patternType="solid">
        <fgColor rgb="FFF6E302"/>
        <bgColor rgb="FFF6E302"/>
      </patternFill>
    </fill>
    <fill>
      <patternFill patternType="solid">
        <fgColor rgb="FFCC0000"/>
        <bgColor rgb="FFCC0000"/>
      </patternFill>
    </fill>
    <fill>
      <patternFill patternType="solid">
        <fgColor rgb="FF434343"/>
        <bgColor rgb="FF434343"/>
      </patternFill>
    </fill>
    <fill>
      <patternFill patternType="solid">
        <fgColor rgb="FFEFEFEF"/>
        <bgColor rgb="FFEFEFEF"/>
      </patternFill>
    </fill>
  </fills>
  <borders count="3">
    <border/>
    <border>
      <bottom style="thin">
        <color rgb="FF000000"/>
      </bottom>
    </border>
    <border>
      <right style="thin">
        <color rgb="FF000000"/>
      </right>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2" fontId="1" numFmtId="0" xfId="0" applyAlignment="1" applyFont="1">
      <alignment readingOrder="0" shrinkToFit="0" wrapText="1"/>
    </xf>
    <xf borderId="0" fillId="2" fontId="2" numFmtId="0" xfId="0" applyAlignment="1" applyFont="1">
      <alignment readingOrder="0"/>
    </xf>
    <xf borderId="0" fillId="2" fontId="2" numFmtId="0" xfId="0" applyAlignment="1" applyFont="1">
      <alignment readingOrder="0"/>
    </xf>
    <xf borderId="0" fillId="2" fontId="3" numFmtId="0" xfId="0" applyFont="1"/>
    <xf borderId="0" fillId="2" fontId="3"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xf>
    <xf borderId="0" fillId="0" fontId="5"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8" numFmtId="0" xfId="0" applyFont="1"/>
    <xf borderId="0" fillId="0" fontId="9" numFmtId="0" xfId="0" applyAlignment="1" applyFont="1">
      <alignment readingOrder="0"/>
    </xf>
    <xf borderId="0" fillId="0" fontId="10"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7" numFmtId="0" xfId="0" applyAlignment="1" applyFont="1">
      <alignment horizontal="left" readingOrder="0" shrinkToFit="0" vertical="center" wrapText="0"/>
    </xf>
    <xf borderId="0" fillId="0" fontId="7" numFmtId="49" xfId="0" applyAlignment="1" applyFont="1" applyNumberFormat="1">
      <alignment horizontal="left" readingOrder="0" shrinkToFit="0" vertical="center" wrapText="0"/>
    </xf>
    <xf borderId="0" fillId="0" fontId="7"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0" fontId="9" numFmtId="49" xfId="0" applyAlignment="1" applyFont="1" applyNumberFormat="1">
      <alignment horizontal="left" readingOrder="0" shrinkToFit="0" vertical="center" wrapText="0"/>
    </xf>
    <xf borderId="0" fillId="0" fontId="10"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0" fontId="11" numFmtId="0" xfId="0" applyAlignment="1" applyFont="1">
      <alignment horizontal="left" readingOrder="0" shrinkToFit="0" vertical="center" wrapText="0"/>
    </xf>
    <xf borderId="0" fillId="0" fontId="11" numFmtId="0" xfId="0" applyAlignment="1" applyFont="1">
      <alignment horizontal="left" readingOrder="0" shrinkToFit="0" vertical="center" wrapText="0"/>
    </xf>
    <xf borderId="0" fillId="0" fontId="11" numFmtId="0" xfId="0" applyAlignment="1" applyFont="1">
      <alignment horizontal="left" readingOrder="0" shrinkToFit="0" vertical="center" wrapText="0"/>
    </xf>
    <xf borderId="0" fillId="0" fontId="8" numFmtId="0" xfId="0" applyAlignment="1" applyFont="1">
      <alignment readingOrder="0" shrinkToFit="0" vertical="center" wrapText="0"/>
    </xf>
    <xf borderId="0" fillId="0" fontId="8" numFmtId="3" xfId="0" applyAlignment="1" applyFont="1" applyNumberFormat="1">
      <alignment shrinkToFit="0" vertical="center" wrapText="0"/>
    </xf>
    <xf borderId="0" fillId="0" fontId="8" numFmtId="3" xfId="0" applyAlignment="1" applyFont="1" applyNumberFormat="1">
      <alignment readingOrder="0" shrinkToFit="0" vertical="center" wrapText="0"/>
    </xf>
    <xf borderId="0" fillId="3" fontId="8" numFmtId="9" xfId="0" applyAlignment="1" applyFill="1" applyFont="1" applyNumberFormat="1">
      <alignment shrinkToFit="0" vertical="center" wrapText="0"/>
    </xf>
    <xf borderId="0" fillId="3" fontId="8" numFmtId="0" xfId="0" applyAlignment="1" applyFont="1">
      <alignment readingOrder="0" shrinkToFit="0" vertical="center" wrapText="0"/>
    </xf>
    <xf borderId="0" fillId="0" fontId="8" numFmtId="0" xfId="0" applyAlignment="1" applyFont="1">
      <alignment shrinkToFit="0" vertical="center" wrapText="0"/>
    </xf>
    <xf borderId="0" fillId="0" fontId="12" numFmtId="3" xfId="0" applyAlignment="1" applyFont="1" applyNumberFormat="1">
      <alignment shrinkToFit="0" vertical="center" wrapText="0"/>
    </xf>
    <xf borderId="0" fillId="4" fontId="8" numFmtId="9" xfId="0" applyAlignment="1" applyFill="1" applyFont="1" applyNumberFormat="1">
      <alignment shrinkToFit="0" vertical="center" wrapText="0"/>
    </xf>
    <xf borderId="0" fillId="5" fontId="8" numFmtId="0" xfId="0" applyAlignment="1" applyFill="1" applyFont="1">
      <alignment shrinkToFit="0" vertical="center" wrapText="0"/>
    </xf>
    <xf borderId="0" fillId="0" fontId="12" numFmtId="0" xfId="0" applyAlignment="1" applyFont="1">
      <alignment readingOrder="0" shrinkToFit="0" vertical="center" wrapText="0"/>
    </xf>
    <xf borderId="0" fillId="0" fontId="12" numFmtId="9" xfId="0" applyAlignment="1" applyFont="1" applyNumberFormat="1">
      <alignment shrinkToFit="0" vertical="center" wrapText="0"/>
    </xf>
    <xf borderId="0" fillId="0" fontId="12" numFmtId="0" xfId="0" applyAlignment="1" applyFont="1">
      <alignment readingOrder="0" shrinkToFit="0" vertical="center" wrapText="0"/>
    </xf>
    <xf borderId="0" fillId="3" fontId="8" numFmtId="0" xfId="0" applyAlignment="1" applyFont="1">
      <alignment shrinkToFit="0" vertical="center" wrapText="0"/>
    </xf>
    <xf borderId="0" fillId="0" fontId="13" numFmtId="0" xfId="0" applyAlignment="1" applyFont="1">
      <alignment readingOrder="0" shrinkToFit="0" vertical="center" wrapText="0"/>
    </xf>
    <xf borderId="0" fillId="0" fontId="13" numFmtId="3" xfId="0" applyAlignment="1" applyFont="1" applyNumberFormat="1">
      <alignment shrinkToFit="0" vertical="center" wrapText="0"/>
    </xf>
    <xf borderId="0" fillId="0" fontId="13" numFmtId="9" xfId="0" applyAlignment="1" applyFont="1" applyNumberFormat="1">
      <alignment shrinkToFit="0" vertical="center" wrapText="0"/>
    </xf>
    <xf borderId="0" fillId="0" fontId="13" numFmtId="0" xfId="0" applyAlignment="1" applyFont="1">
      <alignment readingOrder="0" shrinkToFit="0" vertical="center" wrapText="0"/>
    </xf>
    <xf borderId="0" fillId="0" fontId="12" numFmtId="3" xfId="0" applyAlignment="1" applyFont="1" applyNumberFormat="1">
      <alignment readingOrder="0" shrinkToFit="0" vertical="center" wrapText="0"/>
    </xf>
    <xf borderId="0" fillId="6" fontId="14" numFmtId="164" xfId="0" applyAlignment="1" applyFill="1" applyFont="1" applyNumberFormat="1">
      <alignment shrinkToFit="0" vertical="center" wrapText="0"/>
    </xf>
    <xf borderId="0" fillId="7" fontId="0" numFmtId="0" xfId="0" applyAlignment="1" applyFill="1" applyFont="1">
      <alignment readingOrder="0" shrinkToFit="0" vertical="center" wrapText="0"/>
    </xf>
    <xf borderId="0" fillId="0" fontId="12" numFmtId="3" xfId="0" applyFont="1" applyNumberFormat="1"/>
    <xf borderId="0" fillId="0" fontId="12" numFmtId="0" xfId="0" applyAlignment="1" applyFont="1">
      <alignment readingOrder="0"/>
    </xf>
    <xf borderId="0" fillId="5" fontId="8" numFmtId="0" xfId="0" applyAlignment="1" applyFont="1">
      <alignment readingOrder="0" shrinkToFit="0" vertical="center" wrapText="0"/>
    </xf>
    <xf borderId="0" fillId="7" fontId="8" numFmtId="0" xfId="0" applyAlignment="1" applyFont="1">
      <alignment shrinkToFit="0" vertical="center" wrapText="0"/>
    </xf>
    <xf borderId="0" fillId="0" fontId="8" numFmtId="0" xfId="0" applyAlignment="1" applyFont="1">
      <alignment readingOrder="0"/>
    </xf>
    <xf borderId="0" fillId="3" fontId="8" numFmtId="0" xfId="0" applyAlignment="1" applyFont="1">
      <alignment readingOrder="0" shrinkToFit="0" vertical="center" wrapText="0"/>
    </xf>
    <xf borderId="0" fillId="3" fontId="8" numFmtId="3" xfId="0" applyAlignment="1" applyFont="1" applyNumberFormat="1">
      <alignment shrinkToFit="0" vertical="center" wrapText="0"/>
    </xf>
    <xf borderId="0" fillId="0" fontId="12" numFmtId="9" xfId="0" applyFont="1" applyNumberFormat="1"/>
    <xf borderId="0" fillId="0" fontId="12" numFmtId="10" xfId="0" applyFont="1" applyNumberFormat="1"/>
    <xf borderId="0" fillId="0" fontId="15" numFmtId="0" xfId="0" applyAlignment="1" applyFont="1">
      <alignment readingOrder="0" shrinkToFit="0" wrapText="1"/>
    </xf>
    <xf borderId="0" fillId="0" fontId="12" numFmtId="0" xfId="0" applyAlignment="1" applyFont="1">
      <alignment horizontal="left" readingOrder="0" shrinkToFit="0" vertical="center" wrapText="0"/>
    </xf>
    <xf borderId="0" fillId="0" fontId="12" numFmtId="49" xfId="0" applyAlignment="1" applyFont="1" applyNumberFormat="1">
      <alignment horizontal="left" readingOrder="0" shrinkToFit="0" vertical="center" wrapText="0"/>
    </xf>
    <xf borderId="0" fillId="0" fontId="11" numFmtId="0" xfId="0" applyAlignment="1" applyFont="1">
      <alignment readingOrder="0"/>
    </xf>
    <xf borderId="0" fillId="0" fontId="12" numFmtId="165" xfId="0" applyAlignment="1" applyFont="1" applyNumberFormat="1">
      <alignment readingOrder="0" shrinkToFit="0" vertical="center" wrapText="0"/>
    </xf>
    <xf borderId="0" fillId="0" fontId="12" numFmtId="0" xfId="0" applyAlignment="1" applyFont="1">
      <alignment readingOrder="0"/>
    </xf>
    <xf borderId="0" fillId="0" fontId="12" numFmtId="3" xfId="0" applyAlignment="1" applyFont="1" applyNumberFormat="1">
      <alignment readingOrder="0"/>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readingOrder="0" shrinkToFit="0" vertical="center" wrapText="0"/>
    </xf>
    <xf borderId="0" fillId="7" fontId="20" numFmtId="0" xfId="0" applyAlignment="1" applyFont="1">
      <alignment horizontal="right"/>
    </xf>
    <xf borderId="0" fillId="0" fontId="11" numFmtId="0" xfId="0" applyAlignment="1" applyFont="1">
      <alignment readingOrder="0" shrinkToFit="0" vertical="center" wrapText="0"/>
    </xf>
    <xf borderId="0" fillId="0" fontId="11" numFmtId="3" xfId="0" applyAlignment="1" applyFont="1" applyNumberFormat="1">
      <alignment shrinkToFit="0" vertical="center" wrapText="0"/>
    </xf>
    <xf borderId="0" fillId="0" fontId="11" numFmtId="0" xfId="0" applyAlignment="1" applyFont="1">
      <alignment shrinkToFit="0" vertical="center" wrapText="0"/>
    </xf>
    <xf borderId="0" fillId="0" fontId="12" numFmtId="165" xfId="0" applyFont="1" applyNumberFormat="1"/>
    <xf borderId="0" fillId="7" fontId="12" numFmtId="0" xfId="0" applyFont="1"/>
    <xf borderId="0" fillId="7" fontId="8" numFmtId="0" xfId="0" applyAlignment="1" applyFont="1">
      <alignment readingOrder="0"/>
    </xf>
    <xf borderId="0" fillId="8" fontId="1" numFmtId="0" xfId="0" applyAlignment="1" applyFill="1" applyFont="1">
      <alignment readingOrder="0"/>
    </xf>
    <xf borderId="0" fillId="0" fontId="8" numFmtId="3" xfId="0" applyAlignment="1" applyFont="1" applyNumberFormat="1">
      <alignment readingOrder="0"/>
    </xf>
    <xf borderId="0" fillId="3" fontId="8" numFmtId="3" xfId="0" applyFont="1" applyNumberFormat="1"/>
    <xf borderId="0" fillId="3" fontId="8" numFmtId="0" xfId="0" applyFont="1"/>
    <xf borderId="0" fillId="9" fontId="8" numFmtId="0" xfId="0" applyAlignment="1" applyFill="1" applyFont="1">
      <alignment readingOrder="0"/>
    </xf>
    <xf borderId="0" fillId="9" fontId="8" numFmtId="3" xfId="0" applyFont="1" applyNumberFormat="1"/>
    <xf borderId="0" fillId="10" fontId="9" numFmtId="0" xfId="0" applyAlignment="1" applyFill="1" applyFont="1">
      <alignment readingOrder="0"/>
    </xf>
    <xf borderId="0" fillId="0" fontId="8" numFmtId="3" xfId="0" applyFont="1" applyNumberFormat="1"/>
    <xf borderId="0" fillId="0" fontId="12" numFmtId="0" xfId="0" applyFont="1"/>
    <xf borderId="0" fillId="9" fontId="1" numFmtId="0" xfId="0" applyAlignment="1" applyFont="1">
      <alignment readingOrder="0"/>
    </xf>
    <xf borderId="0" fillId="9" fontId="1" numFmtId="3" xfId="0" applyFont="1" applyNumberFormat="1"/>
    <xf borderId="0" fillId="0" fontId="9" numFmtId="0" xfId="0" applyFont="1"/>
    <xf borderId="0" fillId="11" fontId="1" numFmtId="0" xfId="0" applyAlignment="1" applyFill="1" applyFont="1">
      <alignment readingOrder="0"/>
    </xf>
    <xf borderId="0" fillId="11" fontId="9" numFmtId="0" xfId="0" applyFont="1"/>
    <xf borderId="0" fillId="12" fontId="1" numFmtId="0" xfId="0" applyAlignment="1" applyFill="1" applyFont="1">
      <alignment readingOrder="0"/>
    </xf>
    <xf borderId="0" fillId="12" fontId="1" numFmtId="0" xfId="0" applyFont="1"/>
    <xf borderId="0" fillId="0" fontId="1" numFmtId="0" xfId="0" applyFont="1"/>
    <xf borderId="0" fillId="12" fontId="21" numFmtId="0" xfId="0" applyAlignment="1" applyFont="1">
      <alignment readingOrder="0"/>
    </xf>
    <xf borderId="0" fillId="12" fontId="21" numFmtId="0" xfId="0" applyFont="1"/>
    <xf borderId="0" fillId="0" fontId="22" numFmtId="0" xfId="0" applyAlignment="1" applyFont="1">
      <alignment readingOrder="0" shrinkToFit="0" vertical="bottom" wrapText="0"/>
    </xf>
    <xf borderId="0" fillId="0" fontId="22" numFmtId="0" xfId="0" applyAlignment="1" applyFont="1">
      <alignment horizontal="right" readingOrder="0" shrinkToFit="0" vertical="bottom" wrapText="0"/>
    </xf>
    <xf borderId="0" fillId="0" fontId="22" numFmtId="0" xfId="0" applyFont="1"/>
    <xf borderId="0" fillId="13" fontId="8" numFmtId="0" xfId="0" applyAlignment="1" applyFill="1" applyFont="1">
      <alignment readingOrder="0"/>
    </xf>
    <xf borderId="0" fillId="13" fontId="8" numFmtId="3" xfId="0" applyFont="1" applyNumberFormat="1"/>
    <xf borderId="0" fillId="0" fontId="23" numFmtId="0" xfId="0" applyAlignment="1" applyFont="1">
      <alignment readingOrder="0" shrinkToFit="0" vertical="top" wrapText="0"/>
    </xf>
    <xf borderId="0" fillId="0" fontId="23" numFmtId="0" xfId="0" applyAlignment="1" applyFont="1">
      <alignment shrinkToFit="0" vertical="bottom" wrapText="0"/>
    </xf>
    <xf borderId="0" fillId="0" fontId="24" numFmtId="0" xfId="0" applyAlignment="1" applyFont="1">
      <alignment readingOrder="0"/>
    </xf>
    <xf borderId="0" fillId="0" fontId="24" numFmtId="0" xfId="0" applyAlignment="1" applyFont="1">
      <alignment readingOrder="0" shrinkToFit="0" vertical="bottom" wrapText="0"/>
    </xf>
    <xf borderId="1" fillId="0" fontId="23" numFmtId="0" xfId="0" applyAlignment="1" applyBorder="1" applyFont="1">
      <alignment readingOrder="0" shrinkToFit="0" vertical="bottom" wrapText="0"/>
    </xf>
    <xf borderId="0" fillId="0" fontId="23" numFmtId="0" xfId="0" applyAlignment="1" applyFont="1">
      <alignment readingOrder="0" shrinkToFit="0" vertical="bottom" wrapText="0"/>
    </xf>
    <xf borderId="0" fillId="0" fontId="23" numFmtId="0" xfId="0" applyAlignment="1" applyFont="1">
      <alignment horizontal="right" readingOrder="0" shrinkToFit="0" vertical="bottom" wrapText="0"/>
    </xf>
    <xf borderId="0" fillId="0" fontId="25" numFmtId="0" xfId="0" applyAlignment="1" applyFont="1">
      <alignment readingOrder="0" shrinkToFit="0" vertical="top" wrapText="0"/>
    </xf>
    <xf borderId="2" fillId="0" fontId="26" numFmtId="0" xfId="0" applyBorder="1" applyFont="1"/>
    <xf borderId="0" fillId="0" fontId="25" numFmtId="3" xfId="0" applyAlignment="1" applyFont="1" applyNumberFormat="1">
      <alignment horizontal="right" readingOrder="0" shrinkToFit="0" vertical="bottom" wrapText="0"/>
    </xf>
    <xf borderId="0" fillId="0" fontId="25" numFmtId="0" xfId="0" applyAlignment="1" applyFont="1">
      <alignment horizontal="right" readingOrder="0" shrinkToFit="0" vertical="bottom" wrapText="0"/>
    </xf>
    <xf borderId="2" fillId="0" fontId="25" numFmtId="0" xfId="0" applyAlignment="1" applyBorder="1" applyFont="1">
      <alignment readingOrder="0" shrinkToFit="0" vertical="bottom" wrapText="0"/>
    </xf>
    <xf borderId="2" fillId="0" fontId="23" numFmtId="0" xfId="0" applyAlignment="1" applyBorder="1" applyFont="1">
      <alignment readingOrder="0" shrinkToFit="0" vertical="bottom" wrapText="0"/>
    </xf>
    <xf borderId="0" fillId="0" fontId="23" numFmtId="3" xfId="0" applyAlignment="1" applyFont="1" applyNumberFormat="1">
      <alignment horizontal="right" readingOrder="0" shrinkToFit="0" vertical="bottom" wrapText="0"/>
    </xf>
  </cellXfs>
  <cellStyles count="1">
    <cellStyle xfId="0" name="Normal" builtinId="0"/>
  </cellStyles>
  <dxfs count="12">
    <dxf>
      <font/>
      <fill>
        <patternFill patternType="none"/>
      </fill>
      <border/>
    </dxf>
    <dxf>
      <font/>
      <fill>
        <patternFill patternType="solid">
          <fgColor rgb="FFFF6C00"/>
          <bgColor rgb="FFFF6C00"/>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FDABF"/>
          <bgColor rgb="FFFFDABF"/>
        </patternFill>
      </fill>
      <border/>
    </dxf>
    <dxf>
      <border>
        <left style="thin">
          <color rgb="FFFF6C00"/>
        </left>
        <right style="thin">
          <color rgb="FFFF6C00"/>
        </right>
        <top style="thin">
          <color rgb="FFFF6C00"/>
        </top>
        <bottom style="thin">
          <color rgb="FFFF6C00"/>
        </bottom>
      </border>
    </dxf>
    <dxf>
      <font/>
      <fill>
        <patternFill patternType="solid">
          <fgColor rgb="FFF6E302"/>
          <bgColor rgb="FFF6E302"/>
        </patternFill>
      </fill>
      <border/>
    </dxf>
    <dxf>
      <font/>
      <fill>
        <patternFill patternType="solid">
          <fgColor rgb="FFFDF8C0"/>
          <bgColor rgb="FFFDF8C0"/>
        </patternFill>
      </fill>
      <border/>
    </dxf>
    <dxf>
      <font/>
      <fill>
        <patternFill patternType="solid">
          <fgColor rgb="FFE70707"/>
          <bgColor rgb="FFE70707"/>
        </patternFill>
      </fill>
      <border/>
    </dxf>
    <dxf>
      <font/>
      <fill>
        <patternFill patternType="solid">
          <fgColor rgb="FFF9C1C1"/>
          <bgColor rgb="FFF9C1C1"/>
        </patternFill>
      </fill>
      <border/>
    </dxf>
    <dxf>
      <font/>
      <fill>
        <patternFill patternType="solid">
          <fgColor rgb="FF356854"/>
          <bgColor rgb="FF356854"/>
        </patternFill>
      </fill>
      <border/>
    </dxf>
    <dxf>
      <font/>
      <fill>
        <patternFill patternType="solid">
          <fgColor rgb="FFCDD9D4"/>
          <bgColor rgb="FFCDD9D4"/>
        </patternFill>
      </fill>
      <border/>
    </dxf>
  </dxfs>
  <tableStyles count="5">
    <tableStyle count="5" pivot="0" name="Evasion Rate-style">
      <tableStyleElement dxfId="1" type="headerRow"/>
      <tableStyleElement dxfId="2" type="firstRowStripe"/>
      <tableStyleElement dxfId="3" type="secondRowStripe"/>
      <tableStyleElement dxfId="4" type="totalRow"/>
      <tableStyleElement dxfId="5" size="0" type="wholeTable"/>
    </tableStyle>
    <tableStyle count="5" pivot="0" name="Evasion Rate-style 2">
      <tableStyleElement dxfId="6" type="headerRow"/>
      <tableStyleElement dxfId="2" type="firstRowStripe"/>
      <tableStyleElement dxfId="3" type="secondRowStripe"/>
      <tableStyleElement dxfId="7" type="totalRow"/>
      <tableStyleElement dxfId="5" size="0" type="wholeTable"/>
    </tableStyle>
    <tableStyle count="5" pivot="0" name="Evasion Rate-style 3">
      <tableStyleElement dxfId="8" type="headerRow"/>
      <tableStyleElement dxfId="2" type="firstRowStripe"/>
      <tableStyleElement dxfId="3" type="secondRowStripe"/>
      <tableStyleElement dxfId="9" type="totalRow"/>
      <tableStyleElement dxfId="5" size="0" type="wholeTable"/>
    </tableStyle>
    <tableStyle count="5" pivot="0" name="Free Fare Day Adjustment-style">
      <tableStyleElement dxfId="10" type="headerRow"/>
      <tableStyleElement dxfId="2" type="firstRowStripe"/>
      <tableStyleElement dxfId="3" type="secondRowStripe"/>
      <tableStyleElement dxfId="11" type="totalRow"/>
      <tableStyleElement dxfId="5" size="0" type="wholeTable"/>
    </tableStyle>
    <tableStyle count="2" pivot="0" name="Bus Ridership-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5:F119" displayName="Bus_Routes" name="Bus_Routes" id="1">
  <tableColumns count="6">
    <tableColumn totalsRowLabel="Total" name="Route" id="1"/>
    <tableColumn totalsRowFunction="custom" name="APC Boardings" id="2"/>
    <tableColumn totalsRowFunction="custom" name="Free Day Adjusted Boardings" id="3"/>
    <tableColumn totalsRowFunction="custom" name="Paid Entries" id="4"/>
    <tableColumn totalsRowFunction="custom" name="Fare Evasion Rate" id="5"/>
    <tableColumn name="Notes" id="6"/>
  </tableColumns>
  <tableStyleInfo name="Evasion Rate-style" showColumnStripes="0" showFirstColumn="1" showLastColumn="1" showRowStripes="1"/>
</table>
</file>

<file path=xl/tables/table2.xml><?xml version="1.0" encoding="utf-8"?>
<table xmlns="http://schemas.openxmlformats.org/spreadsheetml/2006/main" totalsRowCount="1" ref="G5:M110" displayName="Rail_Stations" name="Rail_Stations" id="2">
  <tableColumns count="7">
    <tableColumn totalsRowLabel="Total" name="Merged Stations (in-gate xfer stations excluded)" id="1"/>
    <tableColumn totalsRowFunction="custom" name="APC Boardings" id="2"/>
    <tableColumn totalsRowFunction="custom" name="Boardings with Free Day Adjustment" id="3"/>
    <tableColumn totalsRowLabel="Total" name="Rail/BRT Station" id="4"/>
    <tableColumn totalsRowFunction="custom" name="Paid Entries" id="5"/>
    <tableColumn totalsRowFunction="custom" name="Fare Evasion Rate" id="6"/>
    <tableColumn name="Notes" id="7"/>
  </tableColumns>
  <tableStyleInfo name="Evasion Rate-style 2" showColumnStripes="0" showFirstColumn="1" showLastColumn="1" showRowStripes="1"/>
</table>
</file>

<file path=xl/tables/table3.xml><?xml version="1.0" encoding="utf-8"?>
<table xmlns="http://schemas.openxmlformats.org/spreadsheetml/2006/main" totalsRowCount="1" ref="N5:R9" displayName="Systemwide_Evasion_Rate" name="Systemwide_Evasion_Rate" id="3">
  <tableColumns count="5">
    <tableColumn totalsRowLabel="Total" name="Mode" id="1"/>
    <tableColumn totalsRowFunction="custom" name="APC Boardings" id="2"/>
    <tableColumn totalsRowFunction="custom" name="Paid Boardings" id="3"/>
    <tableColumn totalsRowFunction="custom" name="Fare Evasion Rate" id="4"/>
    <tableColumn totalsRowLabel="In 2025, 50% of boardings on LA Metro were unpaid." name="Notes" id="5"/>
  </tableColumns>
  <tableStyleInfo name="Evasion Rate-style 3" showColumnStripes="0" showFirstColumn="1" showLastColumn="1" showRowStripes="1"/>
</table>
</file>

<file path=xl/tables/table4.xml><?xml version="1.0" encoding="utf-8"?>
<table xmlns="http://schemas.openxmlformats.org/spreadsheetml/2006/main" totalsRowCount="1" ref="A2:E32" displayName="Free_Fare_Days" name="Free_Fare_Days" id="4">
  <tableColumns count="5">
    <tableColumn totalsRowLabel="Total" name="Free days in 2025" id="1"/>
    <tableColumn totalsRowFunction="custom" name="Estimated Bus Ridership" id="2"/>
    <tableColumn totalsRowFunction="custom" name="Estimated Rail Ridership" id="3"/>
    <tableColumn name="Reference" id="4"/>
    <tableColumn name="Reason" id="5"/>
  </tableColumns>
  <tableStyleInfo name="Free Fare Day Adjustment-style" showColumnStripes="0" showFirstColumn="1" showLastColumn="1" showRowStripes="1"/>
</table>
</file>

<file path=xl/tables/table5.xml><?xml version="1.0" encoding="utf-8"?>
<table xmlns="http://schemas.openxmlformats.org/spreadsheetml/2006/main" headerRowCount="0" ref="D2:D110" displayName="Table_1" name="Table_1" id="5">
  <tableColumns count="1">
    <tableColumn name="Column1" id="1"/>
  </tableColumns>
  <tableStyleInfo name="Bus Ridershi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enforcethefares.org/" TargetMode="External"/><Relationship Id="rId2" Type="http://schemas.openxmlformats.org/officeDocument/2006/relationships/drawing" Target="../drawings/drawing1.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hyperlink" Target="http://www.enforcethefares.or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p/DFgp3ejSsfY/?igsh=NTc4MTIwNjQ2YQ==" TargetMode="External"/><Relationship Id="rId2" Type="http://schemas.openxmlformats.org/officeDocument/2006/relationships/hyperlink" Target="https://www.dailynews.com/2025/01/25/after-wildfire-pause-la-metro-will-start-collecting-fares-again-on-monday/" TargetMode="External"/><Relationship Id="rId3" Type="http://schemas.openxmlformats.org/officeDocument/2006/relationships/hyperlink" Target="https://laist.com/news/transportation/la-metro-lax-airport-people-mover" TargetMode="External"/><Relationship Id="rId4" Type="http://schemas.openxmlformats.org/officeDocument/2006/relationships/hyperlink" Target="https://thesource.metro.net/how-to-ride-the-a-line-extension-to-glendora-san-dimas-la-verne-fairplex-and-pomona-north/" TargetMode="External"/><Relationship Id="rId5" Type="http://schemas.openxmlformats.org/officeDocument/2006/relationships/drawing" Target="../drawings/drawing3.xml"/><Relationship Id="rId7"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4.38"/>
    <col customWidth="1" min="3" max="3" width="13.63"/>
    <col customWidth="1" min="4" max="4" width="14.5"/>
    <col customWidth="1" min="6" max="6" width="41.75"/>
    <col customWidth="1" min="7" max="7" width="16.5"/>
    <col customWidth="1" min="8" max="8" width="22.63"/>
    <col customWidth="1" min="9" max="9" width="16.63"/>
    <col customWidth="1" min="10" max="10" width="14.13"/>
    <col customWidth="1" min="11" max="11" width="10.5"/>
    <col customWidth="1" min="14" max="14" width="20.0"/>
    <col customWidth="1" min="15" max="15" width="20.13"/>
    <col customWidth="1" min="16" max="16" width="17.88"/>
  </cols>
  <sheetData>
    <row r="1" ht="48.0" customHeight="1">
      <c r="A1" s="1" t="s">
        <v>0</v>
      </c>
      <c r="B1" s="2"/>
      <c r="C1" s="2"/>
      <c r="D1" s="2"/>
      <c r="E1" s="2"/>
      <c r="F1" s="2"/>
      <c r="G1" s="2"/>
      <c r="H1" s="2"/>
      <c r="I1" s="2"/>
      <c r="J1" s="3"/>
      <c r="K1" s="4"/>
      <c r="L1" s="5"/>
      <c r="M1" s="3"/>
      <c r="N1" s="3"/>
      <c r="O1" s="3"/>
      <c r="P1" s="6"/>
      <c r="Q1" s="5"/>
      <c r="R1" s="5"/>
      <c r="S1" s="5"/>
      <c r="T1" s="5"/>
      <c r="U1" s="5"/>
      <c r="V1" s="5"/>
      <c r="W1" s="5"/>
      <c r="X1" s="5"/>
      <c r="Y1" s="5"/>
    </row>
    <row r="2" ht="43.5" customHeight="1">
      <c r="A2" s="7" t="s">
        <v>1</v>
      </c>
      <c r="J2" s="8"/>
      <c r="K2" s="9"/>
      <c r="L2" s="10"/>
      <c r="M2" s="8"/>
      <c r="N2" s="8"/>
      <c r="O2" s="8"/>
      <c r="P2" s="11"/>
      <c r="Q2" s="10"/>
      <c r="R2" s="10"/>
      <c r="S2" s="10"/>
      <c r="T2" s="10"/>
      <c r="U2" s="10"/>
      <c r="V2" s="10"/>
      <c r="W2" s="10"/>
      <c r="X2" s="10"/>
      <c r="Y2" s="10"/>
    </row>
    <row r="3" ht="9.75" customHeight="1">
      <c r="A3" s="12"/>
      <c r="B3" s="12"/>
      <c r="C3" s="12"/>
      <c r="D3" s="12"/>
      <c r="E3" s="13"/>
      <c r="F3" s="13"/>
      <c r="G3" s="14"/>
      <c r="H3" s="14"/>
      <c r="I3" s="14"/>
      <c r="J3" s="15"/>
      <c r="K3" s="16"/>
      <c r="M3" s="17"/>
      <c r="N3" s="17"/>
      <c r="O3" s="17"/>
      <c r="P3" s="18"/>
    </row>
    <row r="4">
      <c r="A4" s="12"/>
      <c r="B4" s="12"/>
      <c r="C4" s="12"/>
      <c r="D4" s="12"/>
      <c r="E4" s="13"/>
      <c r="F4" s="13"/>
      <c r="G4" s="14"/>
      <c r="H4" s="14"/>
      <c r="I4" s="14"/>
      <c r="J4" s="15"/>
      <c r="K4" s="16"/>
      <c r="M4" s="17"/>
      <c r="N4" s="17"/>
      <c r="O4" s="17"/>
      <c r="P4" s="18"/>
    </row>
    <row r="5" ht="22.5" customHeight="1">
      <c r="A5" s="19" t="s">
        <v>2</v>
      </c>
      <c r="B5" s="19" t="s">
        <v>3</v>
      </c>
      <c r="C5" s="20" t="s">
        <v>4</v>
      </c>
      <c r="D5" s="19" t="s">
        <v>5</v>
      </c>
      <c r="E5" s="19" t="s">
        <v>6</v>
      </c>
      <c r="F5" s="21" t="s">
        <v>7</v>
      </c>
      <c r="G5" s="22" t="s">
        <v>8</v>
      </c>
      <c r="H5" s="22" t="s">
        <v>3</v>
      </c>
      <c r="I5" s="23" t="s">
        <v>9</v>
      </c>
      <c r="J5" s="22" t="s">
        <v>10</v>
      </c>
      <c r="K5" s="24" t="s">
        <v>5</v>
      </c>
      <c r="L5" s="25" t="s">
        <v>6</v>
      </c>
      <c r="M5" s="26" t="s">
        <v>7</v>
      </c>
      <c r="N5" s="27" t="s">
        <v>11</v>
      </c>
      <c r="O5" s="27" t="s">
        <v>3</v>
      </c>
      <c r="P5" s="27" t="s">
        <v>12</v>
      </c>
      <c r="Q5" s="28" t="s">
        <v>6</v>
      </c>
      <c r="R5" s="29" t="s">
        <v>7</v>
      </c>
    </row>
    <row r="6" ht="22.5" customHeight="1">
      <c r="A6" s="30" t="s">
        <v>13</v>
      </c>
      <c r="B6" s="31">
        <f>IFERROR(
  VLOOKUP(
    A6,
    'Bus Ridership'!$A:$B,
    2,
    FALSE
  ),
  ""
)
</f>
        <v>4023007</v>
      </c>
      <c r="C6" s="32">
        <f>B6*'Free Fare Day Adjustment'!$H$3</f>
        <v>3709292.232</v>
      </c>
      <c r="D6" s="31">
        <f>
'Station Fare Counts'!K19</f>
        <v>723702</v>
      </c>
      <c r="E6" s="33">
        <f t="shared" ref="E6:E115" si="1">1-(D6/C6)</f>
        <v>0.8048948547</v>
      </c>
      <c r="F6" s="34" t="s">
        <v>14</v>
      </c>
      <c r="G6" s="35" t="s">
        <v>15</v>
      </c>
      <c r="H6" s="31">
        <f>IFERROR(
  VLOOKUP(
    G6,
    'Rail Ridership'!$D:$E,
    2,
    FALSE
  ),
  ""
)
</f>
        <v>1405270</v>
      </c>
      <c r="I6" s="32">
        <f>H6*'Free Fare Day Adjustment'!$H$4</f>
        <v>1300135.175</v>
      </c>
      <c r="J6" s="30" t="s">
        <v>16</v>
      </c>
      <c r="K6" s="36">
        <f>IFERROR(
  VLOOKUP(
    J6,
    'Station Fare Counts'!$A:$E,
    5,
    FALSE
  ),
  ""
)
</f>
        <v>148690</v>
      </c>
      <c r="L6" s="37">
        <f t="shared" ref="L6:L110" si="2">1-(K6/I6)</f>
        <v>0.8856349687</v>
      </c>
      <c r="M6" s="38"/>
      <c r="N6" s="39" t="s">
        <v>17</v>
      </c>
      <c r="O6" s="36">
        <f>Bus_Routes[[#TOTALS],[Free Day Adjusted Boardings]]</f>
        <v>218466435.1</v>
      </c>
      <c r="P6" s="36">
        <f>Bus_Routes[[#TOTALS],[Paid Entries]]</f>
        <v>113034486</v>
      </c>
      <c r="Q6" s="40">
        <f t="shared" ref="Q6:Q8" si="3">1-(P6/O6)</f>
        <v>0.4826002176</v>
      </c>
      <c r="R6" s="41" t="s">
        <v>18</v>
      </c>
    </row>
    <row r="7" ht="22.5" customHeight="1">
      <c r="A7" s="30">
        <v>601.0</v>
      </c>
      <c r="B7" s="31">
        <f>IFERROR(
  VLOOKUP(
    A7,
    'Bus Ridership'!$A:$B,
    2,
    FALSE
  ),
  ""
)
</f>
        <v>119845</v>
      </c>
      <c r="C7" s="32">
        <f>B7*'Free Fare Day Adjustment'!$H$3</f>
        <v>110499.4666</v>
      </c>
      <c r="D7" s="31">
        <f>IFERROR(
  VLOOKUP(
    A7,
    'Bus Fare Counts'!$A:$F,
    6,
    FALSE
  ),
  ""
)
</f>
        <v>29781</v>
      </c>
      <c r="E7" s="33">
        <f t="shared" si="1"/>
        <v>0.7304873868</v>
      </c>
      <c r="F7" s="42"/>
      <c r="G7" s="35" t="s">
        <v>19</v>
      </c>
      <c r="H7" s="31">
        <f>IFERROR(
  VLOOKUP(
    G7,
    'Rail Ridership'!$D:$E,
    2,
    FALSE
  ),
  ""
)
</f>
        <v>310851</v>
      </c>
      <c r="I7" s="32">
        <f>H7*'Free Fare Day Adjustment'!$H$4</f>
        <v>287594.782</v>
      </c>
      <c r="J7" s="30" t="s">
        <v>20</v>
      </c>
      <c r="K7" s="36">
        <f>IFERROR(
  VLOOKUP(
    J7,
    'Station Fare Counts'!$A:$E,
    5,
    FALSE
  ),
  ""
)
</f>
        <v>41859</v>
      </c>
      <c r="L7" s="37">
        <f t="shared" si="2"/>
        <v>0.8544514622</v>
      </c>
      <c r="M7" s="38"/>
      <c r="N7" s="43" t="s">
        <v>21</v>
      </c>
      <c r="O7" s="44">
        <f>'Evasion Rate'!$I$110</f>
        <v>50069495.58</v>
      </c>
      <c r="P7" s="44">
        <f>'Evasion Rate'!$K$110</f>
        <v>21817565</v>
      </c>
      <c r="Q7" s="45">
        <f t="shared" si="3"/>
        <v>0.5642543479</v>
      </c>
      <c r="R7" s="46" t="s">
        <v>22</v>
      </c>
    </row>
    <row r="8" ht="22.5" customHeight="1">
      <c r="A8" s="30">
        <v>154.0</v>
      </c>
      <c r="B8" s="31">
        <f>IFERROR(
  VLOOKUP(
    A8,
    'Bus Ridership'!$A:$B,
    2,
    FALSE
  ),
  ""
)
</f>
        <v>214834</v>
      </c>
      <c r="C8" s="32">
        <f>B8*'Free Fare Day Adjustment'!$H$3</f>
        <v>198081.2083</v>
      </c>
      <c r="D8" s="31">
        <f>IFERROR(
  VLOOKUP(
    A8,
    'Bus Fare Counts'!$A:$F,
    6,
    FALSE
  ),
  ""
)
</f>
        <v>61323</v>
      </c>
      <c r="E8" s="33">
        <f t="shared" si="1"/>
        <v>0.6904148529</v>
      </c>
      <c r="F8" s="42"/>
      <c r="G8" s="35" t="s">
        <v>23</v>
      </c>
      <c r="H8" s="31">
        <f>IFERROR(
  VLOOKUP(
    G8,
    'Rail Ridership'!$D:$E,
    2,
    FALSE
  ),
  ""
)
</f>
        <v>118497</v>
      </c>
      <c r="I8" s="32">
        <f>H8*'Free Fare Day Adjustment'!$H$4</f>
        <v>109631.6849</v>
      </c>
      <c r="J8" s="30" t="s">
        <v>24</v>
      </c>
      <c r="K8" s="36">
        <f>IFERROR(
  VLOOKUP(
    J8,
    'Station Fare Counts'!$A:$E,
    5,
    FALSE
  ),
  ""
)
</f>
        <v>16186</v>
      </c>
      <c r="L8" s="37">
        <f t="shared" si="2"/>
        <v>0.8523602003</v>
      </c>
      <c r="M8" s="38"/>
      <c r="N8" s="39" t="s">
        <v>25</v>
      </c>
      <c r="O8" s="36">
        <f>SUM('Rail Ridership'!$B$2:$B$130)</f>
        <v>68493991</v>
      </c>
      <c r="P8" s="47">
        <f>P7*('Rail Ridership'!$B$131/O7)</f>
        <v>29845958.77</v>
      </c>
      <c r="Q8" s="40">
        <f t="shared" si="3"/>
        <v>0.5642543479</v>
      </c>
      <c r="R8" s="41" t="s">
        <v>26</v>
      </c>
    </row>
    <row r="9" ht="22.5" customHeight="1">
      <c r="A9" s="30">
        <v>74.0</v>
      </c>
      <c r="B9" s="31">
        <f>IFERROR(
  VLOOKUP(
    A9,
    'Bus Ridership'!$A:$B,
    2,
    FALSE
  ),
  ""
)
</f>
        <v>91659</v>
      </c>
      <c r="C9" s="32">
        <f>B9*'Free Fare Day Adjustment'!$H$3</f>
        <v>84511.41565</v>
      </c>
      <c r="D9" s="31">
        <f>IFERROR(
  VLOOKUP(
    A9,
    'Bus Fare Counts'!$A:$F,
    6,
    FALSE
  ),
  ""
)
</f>
        <v>26928</v>
      </c>
      <c r="E9" s="33">
        <f t="shared" si="1"/>
        <v>0.6813684898</v>
      </c>
      <c r="F9" s="42"/>
      <c r="G9" s="35" t="s">
        <v>27</v>
      </c>
      <c r="H9" s="31">
        <f>IFERROR(
  VLOOKUP(
    G9,
    'Rail Ridership'!$D:$E,
    2,
    FALSE
  ),
  ""
)
</f>
        <v>979428</v>
      </c>
      <c r="I9" s="32">
        <f>H9*'Free Fare Day Adjustment'!$H$4</f>
        <v>906152.4079</v>
      </c>
      <c r="J9" s="30" t="s">
        <v>28</v>
      </c>
      <c r="K9" s="36">
        <f>IFERROR(
  VLOOKUP(
    J9,
    'Station Fare Counts'!$A:$E,
    5,
    FALSE
  ),
  ""
)
</f>
        <v>141659</v>
      </c>
      <c r="L9" s="37">
        <f t="shared" si="2"/>
        <v>0.8436697858</v>
      </c>
      <c r="M9" s="38"/>
      <c r="N9" s="39" t="s">
        <v>29</v>
      </c>
      <c r="O9" s="36">
        <f t="shared" ref="O9:P9" si="4">SUM(O6,O8)</f>
        <v>286960426.1</v>
      </c>
      <c r="P9" s="36">
        <f t="shared" si="4"/>
        <v>142880444.8</v>
      </c>
      <c r="Q9" s="48">
        <f>1-(P9/O9)</f>
        <v>0.5020900732</v>
      </c>
      <c r="R9" s="49" t="s">
        <v>30</v>
      </c>
    </row>
    <row r="10" ht="22.5" customHeight="1">
      <c r="A10" s="30">
        <v>754.0</v>
      </c>
      <c r="B10" s="31">
        <f>IFERROR(
  VLOOKUP(
    A10,
    'Bus Ridership'!$A:$B,
    2,
    FALSE
  ),
  ""
)
</f>
        <v>4254701</v>
      </c>
      <c r="C10" s="32">
        <f>B10*'Free Fare Day Adjustment'!$H$3</f>
        <v>3922918.695</v>
      </c>
      <c r="D10" s="31">
        <f>IFERROR(
  VLOOKUP(
    A10,
    'Bus Fare Counts'!$A:$F,
    6,
    FALSE
  ),
  ""
)
</f>
        <v>1281222</v>
      </c>
      <c r="E10" s="33">
        <f t="shared" si="1"/>
        <v>0.6734008274</v>
      </c>
      <c r="F10" s="42"/>
      <c r="G10" s="35" t="s">
        <v>31</v>
      </c>
      <c r="H10" s="31">
        <f>IFERROR(
  VLOOKUP(
    G10,
    'Rail Ridership'!$D:$E,
    2,
    FALSE
  ),
  ""
)
</f>
        <v>285508</v>
      </c>
      <c r="I10" s="32">
        <f>H10*'Free Fare Day Adjustment'!$H$4</f>
        <v>264147.8104</v>
      </c>
      <c r="J10" s="30" t="s">
        <v>32</v>
      </c>
      <c r="K10" s="36">
        <f>IFERROR(
  VLOOKUP(
    J10,
    'Station Fare Counts'!$A:$E,
    5,
    FALSE
  ),
  ""
)
</f>
        <v>43935</v>
      </c>
      <c r="L10" s="37">
        <f t="shared" si="2"/>
        <v>0.8336726701</v>
      </c>
      <c r="M10" s="38"/>
      <c r="N10" s="17" t="s">
        <v>33</v>
      </c>
    </row>
    <row r="11" ht="22.5" customHeight="1">
      <c r="A11" s="30">
        <v>204.0</v>
      </c>
      <c r="B11" s="31">
        <f>IFERROR(
  VLOOKUP(
    A11,
    'Bus Ridership'!$A:$B,
    2,
    FALSE
  ),
  ""
)
</f>
        <v>7344834</v>
      </c>
      <c r="C11" s="32">
        <f>B11*'Free Fare Day Adjustment'!$H$3</f>
        <v>6772082.6</v>
      </c>
      <c r="D11" s="31">
        <f>IFERROR(
  VLOOKUP(
    A11,
    'Bus Fare Counts'!$A:$F,
    6,
    FALSE
  ),
  ""
)
</f>
        <v>2268895</v>
      </c>
      <c r="E11" s="33">
        <f t="shared" si="1"/>
        <v>0.6649634782</v>
      </c>
      <c r="F11" s="42"/>
      <c r="G11" s="35" t="s">
        <v>34</v>
      </c>
      <c r="H11" s="31">
        <f>IFERROR(
  VLOOKUP(
    G11,
    'Rail Ridership'!$D:$E,
    2,
    FALSE
  ),
  ""
)
</f>
        <v>241782</v>
      </c>
      <c r="I11" s="32">
        <f>H11*'Free Fare Day Adjustment'!$H$4</f>
        <v>223693.1571</v>
      </c>
      <c r="J11" s="30" t="s">
        <v>35</v>
      </c>
      <c r="K11" s="36">
        <f>IFERROR(
  VLOOKUP(
    J11,
    'Station Fare Counts'!$A:$E,
    5,
    FALSE
  ),
  ""
)
</f>
        <v>38106</v>
      </c>
      <c r="L11" s="37">
        <f t="shared" si="2"/>
        <v>0.8296505781</v>
      </c>
      <c r="M11" s="38"/>
      <c r="O11" s="50"/>
      <c r="P11" s="50"/>
      <c r="Q11" s="51"/>
    </row>
    <row r="12" ht="22.5" customHeight="1">
      <c r="A12" s="30">
        <v>720.0</v>
      </c>
      <c r="B12" s="31">
        <f>IFERROR(
  VLOOKUP(
    A12,
    'Bus Ridership'!$A:$B,
    2,
    FALSE
  ),
  ""
)
</f>
        <v>6233186</v>
      </c>
      <c r="C12" s="32">
        <f>B12*'Free Fare Day Adjustment'!$H$3</f>
        <v>5747121.1</v>
      </c>
      <c r="D12" s="31">
        <f>IFERROR(
  VLOOKUP(
    A12,
    'Bus Fare Counts'!$A:$F,
    6,
    FALSE
  ),
  ""
)
</f>
        <v>2036312</v>
      </c>
      <c r="E12" s="33">
        <f t="shared" si="1"/>
        <v>0.645681383</v>
      </c>
      <c r="F12" s="42"/>
      <c r="G12" s="35" t="s">
        <v>36</v>
      </c>
      <c r="H12" s="31">
        <f>IFERROR(
  VLOOKUP(
    G12,
    'Rail Ridership'!$D:$E,
    2,
    FALSE
  ),
  ""
)
</f>
        <v>420929</v>
      </c>
      <c r="I12" s="32">
        <f>H12*'Free Fare Day Adjustment'!$H$4</f>
        <v>389437.3317</v>
      </c>
      <c r="J12" s="30" t="s">
        <v>37</v>
      </c>
      <c r="K12" s="36">
        <f>IFERROR(
  VLOOKUP(
    J12,
    'Station Fare Counts'!$A:$E,
    5,
    FALSE
  ),
  ""
)
</f>
        <v>70889</v>
      </c>
      <c r="L12" s="37">
        <f t="shared" si="2"/>
        <v>0.8179707125</v>
      </c>
      <c r="M12" s="38"/>
    </row>
    <row r="13" ht="22.5" customHeight="1">
      <c r="A13" s="30">
        <v>207.0</v>
      </c>
      <c r="B13" s="31">
        <f>IFERROR(
  VLOOKUP(
    A13,
    'Bus Ridership'!$A:$B,
    2,
    FALSE
  ),
  ""
)
</f>
        <v>8260287</v>
      </c>
      <c r="C13" s="32">
        <f>B13*'Free Fare Day Adjustment'!$H$3</f>
        <v>7616148.42</v>
      </c>
      <c r="D13" s="31">
        <f>IFERROR(
  VLOOKUP(
    A13,
    'Bus Fare Counts'!$A:$F,
    6,
    FALSE
  ),
  ""
)
</f>
        <v>2911295</v>
      </c>
      <c r="E13" s="33">
        <f t="shared" si="1"/>
        <v>0.6177470764</v>
      </c>
      <c r="F13" s="42"/>
      <c r="G13" s="35" t="s">
        <v>38</v>
      </c>
      <c r="H13" s="31">
        <f>IFERROR(
  VLOOKUP(
    G13,
    'Rail Ridership'!$D:$E,
    2,
    FALSE
  ),
  ""
)
</f>
        <v>536563</v>
      </c>
      <c r="I13" s="32">
        <f>H13*'Free Fare Day Adjustment'!$H$4</f>
        <v>496420.211</v>
      </c>
      <c r="J13" s="30" t="s">
        <v>39</v>
      </c>
      <c r="K13" s="36">
        <f>IFERROR(
  VLOOKUP(
    J13,
    'Station Fare Counts'!$A:$E,
    5,
    FALSE
  ),
  ""
)
</f>
        <v>91765</v>
      </c>
      <c r="L13" s="37">
        <f t="shared" si="2"/>
        <v>0.8151465271</v>
      </c>
      <c r="M13" s="38"/>
    </row>
    <row r="14" ht="22.5" customHeight="1">
      <c r="A14" s="30" t="s">
        <v>40</v>
      </c>
      <c r="B14" s="31">
        <f>IFERROR(
  VLOOKUP(
    A14,
    'Bus Ridership'!$A:$B,
    2,
    FALSE
  ),
  ""
)
</f>
        <v>4847233</v>
      </c>
      <c r="C14" s="32">
        <f>B14*'Free Fare Day Adjustment'!$H$3</f>
        <v>4469244.949</v>
      </c>
      <c r="D14" s="31">
        <f>IFERROR(
  VLOOKUP(
    A14,
    'Bus Fare Counts'!$A:$F,
    6,
    FALSE
  ),
  ""
)
</f>
        <v>1786266</v>
      </c>
      <c r="E14" s="33">
        <f t="shared" si="1"/>
        <v>0.6003204075</v>
      </c>
      <c r="F14" s="42"/>
      <c r="G14" s="35" t="s">
        <v>41</v>
      </c>
      <c r="H14" s="31">
        <f>IFERROR(
  VLOOKUP(
    G14,
    'Rail Ridership'!$D:$E,
    2,
    FALSE
  ),
  ""
)
</f>
        <v>479903</v>
      </c>
      <c r="I14" s="32">
        <f>H14*'Free Fare Day Adjustment'!$H$4</f>
        <v>443999.2108</v>
      </c>
      <c r="J14" s="30" t="s">
        <v>42</v>
      </c>
      <c r="K14" s="36">
        <f>IFERROR(
  VLOOKUP(
    J14,
    'Station Fare Counts'!$A:$E,
    5,
    FALSE
  ),
  ""
)
</f>
        <v>82208</v>
      </c>
      <c r="L14" s="37">
        <f t="shared" si="2"/>
        <v>0.8148465177</v>
      </c>
      <c r="M14" s="38"/>
    </row>
    <row r="15" ht="22.5" customHeight="1">
      <c r="A15" s="30">
        <v>53.0</v>
      </c>
      <c r="B15" s="31">
        <f>IFERROR(
  VLOOKUP(
    A15,
    'Bus Ridership'!$A:$B,
    2,
    FALSE
  ),
  ""
)
</f>
        <v>3635071</v>
      </c>
      <c r="C15" s="32">
        <f>B15*'Free Fare Day Adjustment'!$H$3</f>
        <v>3351607.547</v>
      </c>
      <c r="D15" s="31">
        <f>IFERROR(
  VLOOKUP(
    A15,
    'Bus Fare Counts'!$A:$F,
    6,
    FALSE
  ),
  ""
)
</f>
        <v>1351789</v>
      </c>
      <c r="E15" s="33">
        <f t="shared" si="1"/>
        <v>0.5966744373</v>
      </c>
      <c r="F15" s="42"/>
      <c r="G15" s="35" t="s">
        <v>43</v>
      </c>
      <c r="H15" s="31">
        <f>IFERROR(
  VLOOKUP(
    G15,
    'Rail Ridership'!$D:$E,
    2,
    FALSE
  ),
  ""
)
</f>
        <v>104217</v>
      </c>
      <c r="I15" s="32">
        <f>H15*'Free Fare Day Adjustment'!$H$4</f>
        <v>96420.03852</v>
      </c>
      <c r="J15" s="30" t="s">
        <v>44</v>
      </c>
      <c r="K15" s="36">
        <f>IFERROR(
  VLOOKUP(
    J15,
    'Station Fare Counts'!$A:$E,
    5,
    FALSE
  ),
  ""
)
</f>
        <v>18435</v>
      </c>
      <c r="L15" s="37">
        <f t="shared" si="2"/>
        <v>0.8088053035</v>
      </c>
      <c r="M15" s="38"/>
    </row>
    <row r="16" ht="22.5" customHeight="1">
      <c r="A16" s="30">
        <v>4.0</v>
      </c>
      <c r="B16" s="31">
        <f>IFERROR(
  VLOOKUP(
    A16,
    'Bus Ridership'!$A:$B,
    2,
    FALSE
  ),
  ""
)
</f>
        <v>7943896</v>
      </c>
      <c r="C16" s="32">
        <f>B16*'Free Fare Day Adjustment'!$H$3</f>
        <v>7324429.644</v>
      </c>
      <c r="D16" s="31">
        <f>IFERROR(
  VLOOKUP(
    A16,
    'Bus Fare Counts'!$A:$F,
    6,
    FALSE
  ),
  ""
)
</f>
        <v>3202056</v>
      </c>
      <c r="E16" s="33">
        <f t="shared" si="1"/>
        <v>0.5628252088</v>
      </c>
      <c r="F16" s="42"/>
      <c r="G16" s="35" t="s">
        <v>45</v>
      </c>
      <c r="H16" s="31">
        <f>IFERROR(
  VLOOKUP(
    G16,
    'Rail Ridership'!$D:$E,
    2,
    FALSE
  ),
  ""
)
</f>
        <v>593791</v>
      </c>
      <c r="I16" s="32">
        <f>H16*'Free Fare Day Adjustment'!$H$4</f>
        <v>549366.7165</v>
      </c>
      <c r="J16" s="30" t="s">
        <v>46</v>
      </c>
      <c r="K16" s="36">
        <f>IFERROR(
  VLOOKUP(
    J16,
    'Station Fare Counts'!$A:$E,
    5,
    FALSE
  ),
  ""
)
</f>
        <v>106025</v>
      </c>
      <c r="L16" s="37">
        <f t="shared" si="2"/>
        <v>0.8070050536</v>
      </c>
      <c r="M16" s="38"/>
    </row>
    <row r="17" ht="22.5" customHeight="1">
      <c r="A17" s="30">
        <v>18.0</v>
      </c>
      <c r="B17" s="31">
        <f>IFERROR(
  VLOOKUP(
    A17,
    'Bus Ridership'!$A:$B,
    2,
    FALSE
  ),
  ""
)
</f>
        <v>6508534</v>
      </c>
      <c r="C17" s="32">
        <f>B17*'Free Fare Day Adjustment'!$H$3</f>
        <v>6000997.416</v>
      </c>
      <c r="D17" s="31">
        <f>IFERROR(
  VLOOKUP(
    A17,
    'Bus Fare Counts'!$A:$F,
    6,
    FALSE
  ),
  ""
)
</f>
        <v>2674049</v>
      </c>
      <c r="E17" s="33">
        <f t="shared" si="1"/>
        <v>0.5543992415</v>
      </c>
      <c r="F17" s="42"/>
      <c r="G17" s="35" t="s">
        <v>47</v>
      </c>
      <c r="H17" s="31">
        <f>IFERROR(
  VLOOKUP(
    G17,
    'Rail Ridership'!$D:$E,
    2,
    FALSE
  ),
  ""
)
</f>
        <v>476471</v>
      </c>
      <c r="I17" s="32">
        <f>H17*'Free Fare Day Adjustment'!$H$4</f>
        <v>440823.9747</v>
      </c>
      <c r="J17" s="30" t="s">
        <v>48</v>
      </c>
      <c r="K17" s="36">
        <f>IFERROR(
  VLOOKUP(
    J17,
    'Station Fare Counts'!$A:$E,
    5,
    FALSE
  ),
  ""
)
</f>
        <v>85598</v>
      </c>
      <c r="L17" s="37">
        <f t="shared" si="2"/>
        <v>0.8058227208</v>
      </c>
      <c r="M17" s="38"/>
    </row>
    <row r="18" ht="22.5" customHeight="1">
      <c r="A18" s="30">
        <v>117.0</v>
      </c>
      <c r="B18" s="31">
        <f>IFERROR(
  VLOOKUP(
    A18,
    'Bus Ridership'!$A:$B,
    2,
    FALSE
  ),
  ""
)
</f>
        <v>2753973</v>
      </c>
      <c r="C18" s="32">
        <f>B18*'Free Fare Day Adjustment'!$H$3</f>
        <v>2539217.719</v>
      </c>
      <c r="D18" s="31">
        <f>IFERROR(
  VLOOKUP(
    A18,
    'Bus Fare Counts'!$A:$F,
    6,
    FALSE
  ),
  ""
)
</f>
        <v>1158460</v>
      </c>
      <c r="E18" s="33">
        <f t="shared" si="1"/>
        <v>0.5437728748</v>
      </c>
      <c r="F18" s="42"/>
      <c r="G18" s="35" t="s">
        <v>49</v>
      </c>
      <c r="H18" s="31">
        <f>IFERROR(
  VLOOKUP(
    G18,
    'Rail Ridership'!$D:$E,
    2,
    FALSE
  ),
  ""
)
</f>
        <v>602210</v>
      </c>
      <c r="I18" s="32">
        <f>H18*'Free Fare Day Adjustment'!$H$4</f>
        <v>557155.8517</v>
      </c>
      <c r="J18" s="30" t="s">
        <v>50</v>
      </c>
      <c r="K18" s="36">
        <f>IFERROR(
  VLOOKUP(
    J18,
    'Station Fare Counts'!$A:$E,
    5,
    FALSE
  ),
  ""
)
</f>
        <v>111526</v>
      </c>
      <c r="L18" s="37">
        <f t="shared" si="2"/>
        <v>0.7998297969</v>
      </c>
      <c r="M18" s="38"/>
    </row>
    <row r="19" ht="22.5" customHeight="1">
      <c r="A19" s="30">
        <v>51.0</v>
      </c>
      <c r="B19" s="31">
        <f>IFERROR(
  VLOOKUP(
    A19,
    'Bus Ridership'!$A:$B,
    2,
    FALSE
  ),
  ""
)
</f>
        <v>5703856</v>
      </c>
      <c r="C19" s="32">
        <f>B19*'Free Fare Day Adjustment'!$H$3</f>
        <v>5259068.343</v>
      </c>
      <c r="D19" s="31">
        <f>IFERROR(
  VLOOKUP(
    A19,
    'Bus Fare Counts'!$A:$F,
    6,
    FALSE
  ),
  ""
)
</f>
        <v>2438486</v>
      </c>
      <c r="E19" s="33">
        <f t="shared" si="1"/>
        <v>0.5363273795</v>
      </c>
      <c r="F19" s="42"/>
      <c r="G19" s="35" t="s">
        <v>51</v>
      </c>
      <c r="H19" s="31">
        <f>IFERROR(
  VLOOKUP(
    G19,
    'Rail Ridership'!$D:$E,
    2,
    FALSE
  ),
  ""
)
</f>
        <v>536723</v>
      </c>
      <c r="I19" s="32">
        <f>H19*'Free Fare Day Adjustment'!$H$4</f>
        <v>496568.2407</v>
      </c>
      <c r="J19" s="30" t="s">
        <v>52</v>
      </c>
      <c r="K19" s="36">
        <f>IFERROR(
  VLOOKUP(
    J19,
    'Station Fare Counts'!$A:$E,
    5,
    FALSE
  ),
  ""
)
</f>
        <v>108456</v>
      </c>
      <c r="L19" s="37">
        <f t="shared" si="2"/>
        <v>0.7815889315</v>
      </c>
      <c r="M19" s="38"/>
    </row>
    <row r="20" ht="22.5" customHeight="1">
      <c r="A20" s="30">
        <v>16.0</v>
      </c>
      <c r="B20" s="31">
        <f>IFERROR(
  VLOOKUP(
    A20,
    'Bus Ridership'!$A:$B,
    2,
    FALSE
  ),
  ""
)
</f>
        <v>6406634</v>
      </c>
      <c r="C20" s="32">
        <f>B20*'Free Fare Day Adjustment'!$H$3</f>
        <v>5907043.595</v>
      </c>
      <c r="D20" s="31">
        <f>IFERROR(
  VLOOKUP(
    A20,
    'Bus Fare Counts'!$A:$F,
    6,
    FALSE
  ),
  ""
)
</f>
        <v>2763128</v>
      </c>
      <c r="E20" s="33">
        <f t="shared" si="1"/>
        <v>0.5322316561</v>
      </c>
      <c r="F20" s="42"/>
      <c r="G20" s="35" t="s">
        <v>53</v>
      </c>
      <c r="H20" s="31">
        <f>IFERROR(
  VLOOKUP(
    G20,
    'Rail Ridership'!$D:$E,
    2,
    FALSE
  ),
  ""
)
</f>
        <v>902388</v>
      </c>
      <c r="I20" s="32">
        <f>H20*'Free Fare Day Adjustment'!$H$4</f>
        <v>834876.1308</v>
      </c>
      <c r="J20" s="30" t="s">
        <v>54</v>
      </c>
      <c r="K20" s="36">
        <f>IFERROR(
  VLOOKUP(
    J20,
    'Station Fare Counts'!$A:$E,
    5,
    FALSE
  ),
  ""
)
</f>
        <v>182818</v>
      </c>
      <c r="L20" s="37">
        <f t="shared" si="2"/>
        <v>0.7810238031</v>
      </c>
      <c r="M20" s="38"/>
    </row>
    <row r="21" ht="22.5" customHeight="1">
      <c r="A21" s="30">
        <v>45.0</v>
      </c>
      <c r="B21" s="31">
        <f>IFERROR(
  VLOOKUP(
    A21,
    'Bus Ridership'!$A:$B,
    2,
    FALSE
  ),
  ""
)
</f>
        <v>4179859</v>
      </c>
      <c r="C21" s="32">
        <f>B21*'Free Fare Day Adjustment'!$H$3</f>
        <v>3853912.887</v>
      </c>
      <c r="D21" s="31">
        <f>IFERROR(
  VLOOKUP(
    A21,
    'Bus Fare Counts'!$A:$F,
    6,
    FALSE
  ),
  ""
)
</f>
        <v>1807093</v>
      </c>
      <c r="E21" s="33">
        <f t="shared" si="1"/>
        <v>0.5311017522</v>
      </c>
      <c r="F21" s="42"/>
      <c r="G21" s="35" t="s">
        <v>55</v>
      </c>
      <c r="H21" s="31">
        <f>IFERROR(
  VLOOKUP(
    G21,
    'Rail Ridership'!$D:$E,
    2,
    FALSE
  ),
  ""
)
</f>
        <v>265660</v>
      </c>
      <c r="I21" s="32">
        <f>H21*'Free Fare Day Adjustment'!$H$4</f>
        <v>245784.7322</v>
      </c>
      <c r="J21" s="30" t="s">
        <v>56</v>
      </c>
      <c r="K21" s="36">
        <f>IFERROR(
  VLOOKUP(
    J21,
    'Station Fare Counts'!$A:$E,
    5,
    FALSE
  ),
  ""
)
</f>
        <v>54059</v>
      </c>
      <c r="L21" s="37">
        <f t="shared" si="2"/>
        <v>0.7800555001</v>
      </c>
      <c r="M21" s="38"/>
    </row>
    <row r="22" ht="22.5" customHeight="1">
      <c r="A22" s="30">
        <v>115.0</v>
      </c>
      <c r="B22" s="31">
        <f>IFERROR(
  VLOOKUP(
    A22,
    'Bus Ridership'!$A:$B,
    2,
    FALSE
  ),
  ""
)
</f>
        <v>3745786</v>
      </c>
      <c r="C22" s="32">
        <f>B22*'Free Fare Day Adjustment'!$H$3</f>
        <v>3453688.973</v>
      </c>
      <c r="D22" s="31">
        <f>IFERROR(
  VLOOKUP(
    A22,
    'Bus Fare Counts'!$A:$F,
    6,
    FALSE
  ),
  ""
)
</f>
        <v>1639626</v>
      </c>
      <c r="E22" s="33">
        <f t="shared" si="1"/>
        <v>0.5252537177</v>
      </c>
      <c r="F22" s="42"/>
      <c r="G22" s="35" t="s">
        <v>57</v>
      </c>
      <c r="H22" s="31">
        <f>IFERROR(
  VLOOKUP(
    G22,
    'Rail Ridership'!$D:$E,
    2,
    FALSE
  ),
  ""
)
</f>
        <v>678510</v>
      </c>
      <c r="I22" s="32">
        <f>H22*'Free Fare Day Adjustment'!$H$4</f>
        <v>627747.4917</v>
      </c>
      <c r="J22" s="30" t="s">
        <v>58</v>
      </c>
      <c r="K22" s="36">
        <f>IFERROR(
  VLOOKUP(
    J22,
    'Station Fare Counts'!$A:$E,
    5,
    FALSE
  ),
  ""
)
</f>
        <v>139080</v>
      </c>
      <c r="L22" s="37">
        <f t="shared" si="2"/>
        <v>0.7784459487</v>
      </c>
      <c r="M22" s="38"/>
    </row>
    <row r="23" ht="22.5" customHeight="1">
      <c r="A23" s="30">
        <v>20.0</v>
      </c>
      <c r="B23" s="31">
        <f>IFERROR(
  VLOOKUP(
    A23,
    'Bus Ridership'!$A:$B,
    2,
    FALSE
  ),
  ""
)
</f>
        <v>2862204</v>
      </c>
      <c r="C23" s="32">
        <f>B23*'Free Fare Day Adjustment'!$H$3</f>
        <v>2639008.847</v>
      </c>
      <c r="D23" s="31">
        <f>IFERROR(
  VLOOKUP(
    A23,
    'Bus Fare Counts'!$A:$F,
    6,
    FALSE
  ),
  ""
)
</f>
        <v>1258141</v>
      </c>
      <c r="E23" s="33">
        <f t="shared" si="1"/>
        <v>0.5232524509</v>
      </c>
      <c r="F23" s="42"/>
      <c r="G23" s="35" t="s">
        <v>59</v>
      </c>
      <c r="H23" s="31">
        <f>IFERROR(
  VLOOKUP(
    G23,
    'Rail Ridership'!$D:$E,
    2,
    FALSE
  ),
  ""
)
</f>
        <v>437613</v>
      </c>
      <c r="I23" s="32">
        <f>H23*'Free Fare Day Adjustment'!$H$4</f>
        <v>404873.1236</v>
      </c>
      <c r="J23" s="30" t="s">
        <v>60</v>
      </c>
      <c r="K23" s="36">
        <f>IFERROR(
  VLOOKUP(
    J23,
    'Station Fare Counts'!$A:$E,
    5,
    FALSE
  ),
  ""
)
</f>
        <v>94852</v>
      </c>
      <c r="L23" s="37">
        <f t="shared" si="2"/>
        <v>0.7657241381</v>
      </c>
      <c r="M23" s="38"/>
    </row>
    <row r="24" ht="22.5" customHeight="1">
      <c r="A24" s="30">
        <v>210.0</v>
      </c>
      <c r="B24" s="31">
        <f>IFERROR(
  VLOOKUP(
    A24,
    'Bus Ridership'!$A:$B,
    2,
    FALSE
  ),
  ""
)
</f>
        <v>4352659</v>
      </c>
      <c r="C24" s="32">
        <f>B24*'Free Fare Day Adjustment'!$H$3</f>
        <v>4013237.914</v>
      </c>
      <c r="D24" s="31">
        <f>IFERROR(
  VLOOKUP(
    A24,
    'Bus Fare Counts'!$A:$F,
    6,
    FALSE
  ),
  ""
)
</f>
        <v>1918442</v>
      </c>
      <c r="E24" s="33">
        <f t="shared" si="1"/>
        <v>0.5219715249</v>
      </c>
      <c r="F24" s="42"/>
      <c r="G24" s="35" t="s">
        <v>61</v>
      </c>
      <c r="H24" s="31">
        <f>IFERROR(
  VLOOKUP(
    G24,
    'Rail Ridership'!$D:$E,
    2,
    FALSE
  ),
  ""
)
</f>
        <v>502057</v>
      </c>
      <c r="I24" s="32">
        <f>H24*'Free Fare Day Adjustment'!$H$4</f>
        <v>464495.7663</v>
      </c>
      <c r="J24" s="30" t="s">
        <v>62</v>
      </c>
      <c r="K24" s="36">
        <f>IFERROR(
  VLOOKUP(
    J24,
    'Station Fare Counts'!$A:$E,
    5,
    FALSE
  ),
  ""
)
</f>
        <v>109532</v>
      </c>
      <c r="L24" s="37">
        <f t="shared" si="2"/>
        <v>0.7641916075</v>
      </c>
      <c r="M24" s="38"/>
    </row>
    <row r="25" ht="22.5" customHeight="1">
      <c r="A25" s="30">
        <v>66.0</v>
      </c>
      <c r="B25" s="31">
        <f>IFERROR(
  VLOOKUP(
    A25,
    'Bus Ridership'!$A:$B,
    2,
    FALSE
  ),
  ""
)
</f>
        <v>4002195</v>
      </c>
      <c r="C25" s="32">
        <f>B25*'Free Fare Day Adjustment'!$H$3</f>
        <v>3690103.156</v>
      </c>
      <c r="D25" s="31">
        <f>IFERROR(
  VLOOKUP(
    A25,
    'Bus Fare Counts'!$A:$F,
    6,
    FALSE
  ),
  ""
)
</f>
        <v>1783296</v>
      </c>
      <c r="E25" s="33">
        <f t="shared" si="1"/>
        <v>0.5167354611</v>
      </c>
      <c r="F25" s="42"/>
      <c r="G25" s="35" t="s">
        <v>63</v>
      </c>
      <c r="H25" s="31">
        <f>IFERROR(
  VLOOKUP(
    G25,
    'Rail Ridership'!$D:$E,
    2,
    FALSE
  ),
  ""
)
</f>
        <v>879577</v>
      </c>
      <c r="I25" s="32">
        <f>H25*'Free Fare Day Adjustment'!$H$4</f>
        <v>813771.7284</v>
      </c>
      <c r="J25" s="30" t="s">
        <v>64</v>
      </c>
      <c r="K25" s="36">
        <f>IFERROR(
  VLOOKUP(
    J25,
    'Station Fare Counts'!$A:$E,
    5,
    FALSE
  ),
  ""
)
</f>
        <v>202397</v>
      </c>
      <c r="L25" s="37">
        <f t="shared" si="2"/>
        <v>0.7512852893</v>
      </c>
      <c r="M25" s="38"/>
    </row>
    <row r="26" ht="22.5" customHeight="1">
      <c r="A26" s="30">
        <v>40.0</v>
      </c>
      <c r="B26" s="31">
        <f>IFERROR(
  VLOOKUP(
    A26,
    'Bus Ridership'!$A:$B,
    2,
    FALSE
  ),
  ""
)
</f>
        <v>4328513</v>
      </c>
      <c r="C26" s="32">
        <f>B26*'Free Fare Day Adjustment'!$H$3</f>
        <v>3990974.823</v>
      </c>
      <c r="D26" s="31">
        <f>IFERROR(
  VLOOKUP(
    A26,
    'Bus Fare Counts'!$A:$F,
    6,
    FALSE
  ),
  ""
)
</f>
        <v>1936273</v>
      </c>
      <c r="E26" s="33">
        <f t="shared" si="1"/>
        <v>0.5148370797</v>
      </c>
      <c r="F26" s="42"/>
      <c r="G26" s="35" t="s">
        <v>65</v>
      </c>
      <c r="H26" s="31">
        <f>IFERROR(
  VLOOKUP(
    G26,
    'Rail Ridership'!$D:$E,
    2,
    FALSE
  ),
  ""
)
</f>
        <v>508580</v>
      </c>
      <c r="I26" s="32">
        <f>H26*'Free Fare Day Adjustment'!$H$4</f>
        <v>470530.7502</v>
      </c>
      <c r="J26" s="30" t="s">
        <v>66</v>
      </c>
      <c r="K26" s="36">
        <f>IFERROR(
  VLOOKUP(
    J26,
    'Station Fare Counts'!$A:$E,
    5,
    FALSE
  ),
  ""
)
</f>
        <v>117145</v>
      </c>
      <c r="L26" s="37">
        <f t="shared" si="2"/>
        <v>0.7510364626</v>
      </c>
      <c r="M26" s="38"/>
    </row>
    <row r="27" ht="22.5" customHeight="1">
      <c r="A27" s="30">
        <v>244.0</v>
      </c>
      <c r="B27" s="31">
        <f>IFERROR(
  VLOOKUP(
    A27,
    'Bus Ridership'!$A:$B,
    2,
    FALSE
  ),
  ""
)
</f>
        <v>546801</v>
      </c>
      <c r="C27" s="32">
        <f>B27*'Free Fare Day Adjustment'!$H$3</f>
        <v>504161.3654</v>
      </c>
      <c r="D27" s="31">
        <f>IFERROR(
  VLOOKUP(
    A27,
    'Bus Fare Counts'!$A:$F,
    6,
    FALSE
  ),
  ""
)
</f>
        <v>246565</v>
      </c>
      <c r="E27" s="33">
        <f t="shared" si="1"/>
        <v>0.5109403121</v>
      </c>
      <c r="F27" s="42"/>
      <c r="G27" s="35" t="s">
        <v>67</v>
      </c>
      <c r="H27" s="31">
        <f>IFERROR(
  VLOOKUP(
    G27,
    'Rail Ridership'!$D:$E,
    2,
    FALSE
  ),
  ""
)
</f>
        <v>654248</v>
      </c>
      <c r="I27" s="32">
        <f>H27*'Free Fare Day Adjustment'!$H$4</f>
        <v>605300.6454</v>
      </c>
      <c r="J27" s="30" t="s">
        <v>68</v>
      </c>
      <c r="K27" s="36">
        <f>IFERROR(
  VLOOKUP(
    J27,
    'Station Fare Counts'!$A:$E,
    5,
    FALSE
  ),
  ""
)
</f>
        <v>150749</v>
      </c>
      <c r="L27" s="37">
        <f t="shared" si="2"/>
        <v>0.7509518598</v>
      </c>
      <c r="M27" s="38"/>
    </row>
    <row r="28" ht="22.5" customHeight="1">
      <c r="A28" s="30">
        <v>233.0</v>
      </c>
      <c r="B28" s="31">
        <f>IFERROR(
  VLOOKUP(
    A28,
    'Bus Ridership'!$A:$B,
    2,
    FALSE
  ),
  ""
)
</f>
        <v>4108894</v>
      </c>
      <c r="C28" s="32">
        <f>B28*'Free Fare Day Adjustment'!$H$3</f>
        <v>3788481.75</v>
      </c>
      <c r="D28" s="31">
        <f>IFERROR(
  VLOOKUP(
    A28,
    'Bus Fare Counts'!$A:$F,
    6,
    FALSE
  ),
  ""
)
</f>
        <v>1854653</v>
      </c>
      <c r="E28" s="33">
        <f t="shared" si="1"/>
        <v>0.5104495356</v>
      </c>
      <c r="F28" s="42"/>
      <c r="G28" s="35" t="s">
        <v>69</v>
      </c>
      <c r="H28" s="31">
        <f>IFERROR(
  VLOOKUP(
    G28,
    'Rail Ridership'!$D:$E,
    2,
    FALSE
  ),
  ""
)
</f>
        <v>370024</v>
      </c>
      <c r="I28" s="32">
        <f>H28*'Free Fare Day Adjustment'!$H$4</f>
        <v>342340.7729</v>
      </c>
      <c r="J28" s="30" t="s">
        <v>70</v>
      </c>
      <c r="K28" s="36">
        <f>IFERROR(
  VLOOKUP(
    J28,
    'Station Fare Counts'!$A:$E,
    5,
    FALSE
  ),
  ""
)
</f>
        <v>87400</v>
      </c>
      <c r="L28" s="37">
        <f t="shared" si="2"/>
        <v>0.7446988296</v>
      </c>
      <c r="M28" s="38"/>
    </row>
    <row r="29" ht="22.5" customHeight="1">
      <c r="A29" s="30">
        <v>602.0</v>
      </c>
      <c r="B29" s="31">
        <f>IFERROR(
  VLOOKUP(
    A29,
    'Bus Ridership'!$A:$B,
    2,
    FALSE
  ),
  ""
)
</f>
        <v>150179</v>
      </c>
      <c r="C29" s="32">
        <f>B29*'Free Fare Day Adjustment'!$H$3</f>
        <v>138468.0161</v>
      </c>
      <c r="D29" s="31">
        <f>IFERROR(
  VLOOKUP(
    A29,
    'Bus Fare Counts'!$A:$F,
    6,
    FALSE
  ),
  ""
)
</f>
        <v>68583</v>
      </c>
      <c r="E29" s="33">
        <f t="shared" si="1"/>
        <v>0.504701505</v>
      </c>
      <c r="F29" s="42"/>
      <c r="G29" s="35" t="s">
        <v>71</v>
      </c>
      <c r="H29" s="31">
        <f>IFERROR(
  VLOOKUP(
    G29,
    'Rail Ridership'!$D:$E,
    2,
    FALSE
  ),
  ""
)
</f>
        <v>253484</v>
      </c>
      <c r="I29" s="32">
        <f>H29*'Free Fare Day Adjustment'!$H$4</f>
        <v>234519.6757</v>
      </c>
      <c r="J29" s="30" t="s">
        <v>72</v>
      </c>
      <c r="K29" s="36">
        <f>IFERROR(
  VLOOKUP(
    J29,
    'Station Fare Counts'!$A:$E,
    5,
    FALSE
  ),
  ""
)
</f>
        <v>60022</v>
      </c>
      <c r="L29" s="37">
        <f t="shared" si="2"/>
        <v>0.7440641182</v>
      </c>
      <c r="M29" s="38"/>
    </row>
    <row r="30" ht="22.5" customHeight="1">
      <c r="A30" s="30">
        <v>105.0</v>
      </c>
      <c r="B30" s="31">
        <f>IFERROR(
  VLOOKUP(
    A30,
    'Bus Ridership'!$A:$B,
    2,
    FALSE
  ),
  ""
)
</f>
        <v>4525785</v>
      </c>
      <c r="C30" s="32">
        <f>B30*'Free Fare Day Adjustment'!$H$3</f>
        <v>4172863.519</v>
      </c>
      <c r="D30" s="31">
        <f>IFERROR(
  VLOOKUP(
    A30,
    'Bus Fare Counts'!$A:$F,
    6,
    FALSE
  ),
  ""
)
</f>
        <v>2080156</v>
      </c>
      <c r="E30" s="33">
        <f t="shared" si="1"/>
        <v>0.5015039455</v>
      </c>
      <c r="F30" s="42"/>
      <c r="G30" s="35" t="s">
        <v>73</v>
      </c>
      <c r="H30" s="31">
        <f>IFERROR(
  VLOOKUP(
    G30,
    'Rail Ridership'!$D:$E,
    2,
    FALSE
  ),
  ""
)
</f>
        <v>642746</v>
      </c>
      <c r="I30" s="32">
        <f>H30*'Free Fare Day Adjustment'!$H$4</f>
        <v>594659.1639</v>
      </c>
      <c r="J30" s="30" t="s">
        <v>74</v>
      </c>
      <c r="K30" s="36">
        <f>IFERROR(
  VLOOKUP(
    J30,
    'Station Fare Counts'!$A:$E,
    5,
    FALSE
  ),
  ""
)
</f>
        <v>153061</v>
      </c>
      <c r="L30" s="37">
        <f t="shared" si="2"/>
        <v>0.7426071785</v>
      </c>
      <c r="M30" s="38"/>
    </row>
    <row r="31" ht="22.5" customHeight="1">
      <c r="A31" s="30">
        <v>603.0</v>
      </c>
      <c r="B31" s="31">
        <f>IFERROR(
  VLOOKUP(
    A31,
    'Bus Ridership'!$A:$B,
    2,
    FALSE
  ),
  ""
)
</f>
        <v>1239413</v>
      </c>
      <c r="C31" s="32">
        <f>B31*'Free Fare Day Adjustment'!$H$3</f>
        <v>1142763.364</v>
      </c>
      <c r="D31" s="31">
        <f>IFERROR(
  VLOOKUP(
    A31,
    'Bus Fare Counts'!$A:$F,
    6,
    FALSE
  ),
  ""
)
</f>
        <v>576911</v>
      </c>
      <c r="E31" s="33">
        <f t="shared" si="1"/>
        <v>0.4951614498</v>
      </c>
      <c r="F31" s="42"/>
      <c r="G31" s="35" t="s">
        <v>75</v>
      </c>
      <c r="H31" s="31">
        <f>IFERROR(
  VLOOKUP(
    G31,
    'Rail Ridership'!$D:$E,
    2,
    FALSE
  ),
  ""
)
</f>
        <v>424558</v>
      </c>
      <c r="I31" s="32">
        <f>H31*'Free Fare Day Adjustment'!$H$4</f>
        <v>392794.8292</v>
      </c>
      <c r="J31" s="30" t="s">
        <v>76</v>
      </c>
      <c r="K31" s="36">
        <f>IFERROR(
  VLOOKUP(
    J31,
    'Station Fare Counts'!$A:$E,
    5,
    FALSE
  ),
  ""
)
</f>
        <v>101911</v>
      </c>
      <c r="L31" s="37">
        <f t="shared" si="2"/>
        <v>0.7405490286</v>
      </c>
      <c r="M31" s="38"/>
    </row>
    <row r="32" ht="22.5" customHeight="1">
      <c r="A32" s="30">
        <v>460.0</v>
      </c>
      <c r="B32" s="31">
        <f>IFERROR(
  VLOOKUP(
    A32,
    'Bus Ridership'!$A:$B,
    2,
    FALSE
  ),
  ""
)
</f>
        <v>1416659</v>
      </c>
      <c r="C32" s="32">
        <f>B32*'Free Fare Day Adjustment'!$H$3</f>
        <v>1306187.691</v>
      </c>
      <c r="D32" s="31">
        <f>IFERROR(
  VLOOKUP(
    A32,
    'Bus Fare Counts'!$A:$F,
    6,
    FALSE
  ),
  ""
)
</f>
        <v>665713</v>
      </c>
      <c r="E32" s="33">
        <f t="shared" si="1"/>
        <v>0.4903389425</v>
      </c>
      <c r="F32" s="42"/>
      <c r="G32" s="35" t="s">
        <v>77</v>
      </c>
      <c r="H32" s="31">
        <f>IFERROR(
  VLOOKUP(
    G32,
    'Rail Ridership'!$D:$E,
    2,
    FALSE
  ),
  ""
)
</f>
        <v>247712</v>
      </c>
      <c r="I32" s="32">
        <f>H32*'Free Fare Day Adjustment'!$H$4</f>
        <v>229179.5061</v>
      </c>
      <c r="J32" s="30" t="s">
        <v>78</v>
      </c>
      <c r="K32" s="36">
        <f>IFERROR(
  VLOOKUP(
    J32,
    'Station Fare Counts'!$A:$E,
    5,
    FALSE
  ),
  ""
)
</f>
        <v>60863</v>
      </c>
      <c r="L32" s="37">
        <f t="shared" si="2"/>
        <v>0.7344308789</v>
      </c>
      <c r="M32" s="38"/>
    </row>
    <row r="33" ht="22.5" customHeight="1">
      <c r="A33" s="30">
        <v>111.0</v>
      </c>
      <c r="B33" s="31">
        <f>IFERROR(
  VLOOKUP(
    A33,
    'Bus Ridership'!$A:$B,
    2,
    FALSE
  ),
  ""
)
</f>
        <v>4553520</v>
      </c>
      <c r="C33" s="32">
        <f>B33*'Free Fare Day Adjustment'!$H$3</f>
        <v>4198435.739</v>
      </c>
      <c r="D33" s="31">
        <f>IFERROR(
  VLOOKUP(
    A33,
    'Bus Fare Counts'!$A:$F,
    6,
    FALSE
  ),
  ""
)
</f>
        <v>2141299</v>
      </c>
      <c r="E33" s="33">
        <f t="shared" si="1"/>
        <v>0.4899769502</v>
      </c>
      <c r="F33" s="42"/>
      <c r="G33" s="35" t="s">
        <v>79</v>
      </c>
      <c r="H33" s="31">
        <f>IFERROR(
  VLOOKUP(
    G33,
    'Rail Ridership'!$D:$E,
    2,
    FALSE
  ),
  ""
)
</f>
        <v>451222</v>
      </c>
      <c r="I33" s="32">
        <f>H33*'Free Fare Day Adjustment'!$H$4</f>
        <v>417463.9706</v>
      </c>
      <c r="J33" s="30" t="s">
        <v>80</v>
      </c>
      <c r="K33" s="36">
        <f>IFERROR(
  VLOOKUP(
    J33,
    'Station Fare Counts'!$A:$E,
    5,
    FALSE
  ),
  ""
)
</f>
        <v>112903</v>
      </c>
      <c r="L33" s="37">
        <f t="shared" si="2"/>
        <v>0.7295503134</v>
      </c>
      <c r="M33" s="38"/>
    </row>
    <row r="34" ht="22.5" customHeight="1">
      <c r="A34" s="30">
        <v>211.0</v>
      </c>
      <c r="B34" s="31">
        <f>IFERROR(
  VLOOKUP(
    A34,
    'Bus Ridership'!$A:$B,
    2,
    FALSE
  ),
  ""
)
</f>
        <v>90549</v>
      </c>
      <c r="C34" s="32">
        <f>B34*'Free Fare Day Adjustment'!$H$3</f>
        <v>83487.97364</v>
      </c>
      <c r="D34" s="31">
        <f>IFERROR(
  VLOOKUP(
    A34,
    'Bus Fare Counts'!$A:$F,
    6,
    FALSE
  ),
  ""
)
</f>
        <v>42660</v>
      </c>
      <c r="E34" s="33">
        <f t="shared" si="1"/>
        <v>0.489028202</v>
      </c>
      <c r="F34" s="42"/>
      <c r="G34" s="35" t="s">
        <v>81</v>
      </c>
      <c r="H34" s="31">
        <f>IFERROR(
  VLOOKUP(
    G34,
    'Rail Ridership'!$D:$E,
    2,
    FALSE
  ),
  ""
)
</f>
        <v>1557646</v>
      </c>
      <c r="I34" s="32">
        <f>H34*'Free Fare Day Adjustment'!$H$4</f>
        <v>1441111.213</v>
      </c>
      <c r="J34" s="30" t="s">
        <v>82</v>
      </c>
      <c r="K34" s="36">
        <f>IFERROR(
  VLOOKUP(
    J34,
    'Station Fare Counts'!$A:$E,
    5,
    FALSE
  ),
  ""
)
</f>
        <v>391746</v>
      </c>
      <c r="L34" s="37">
        <f t="shared" si="2"/>
        <v>0.728163936</v>
      </c>
      <c r="M34" s="38"/>
    </row>
    <row r="35" ht="22.5" customHeight="1">
      <c r="A35" s="30">
        <v>209.0</v>
      </c>
      <c r="B35" s="31">
        <f>IFERROR(
  VLOOKUP(
    A35,
    'Bus Ridership'!$A:$B,
    2,
    FALSE
  ),
  ""
)
</f>
        <v>97369</v>
      </c>
      <c r="C35" s="32">
        <f>B35*'Free Fare Day Adjustment'!$H$3</f>
        <v>89776.14888</v>
      </c>
      <c r="D35" s="31">
        <f>IFERROR(
  VLOOKUP(
    A35,
    'Bus Fare Counts'!$A:$F,
    6,
    FALSE
  ),
  ""
)
</f>
        <v>46426</v>
      </c>
      <c r="E35" s="33">
        <f t="shared" si="1"/>
        <v>0.4828693302</v>
      </c>
      <c r="F35" s="42"/>
      <c r="G35" s="35" t="s">
        <v>83</v>
      </c>
      <c r="H35" s="31">
        <f>IFERROR(
  VLOOKUP(
    G35,
    'Rail Ridership'!$D:$E,
    2,
    FALSE
  ),
  ""
)
</f>
        <v>766945</v>
      </c>
      <c r="I35" s="32">
        <f>H35*'Free Fare Day Adjustment'!$H$4</f>
        <v>709566.2555</v>
      </c>
      <c r="J35" s="30" t="s">
        <v>84</v>
      </c>
      <c r="K35" s="36">
        <f>IFERROR(
  VLOOKUP(
    J35,
    'Station Fare Counts'!$A:$E,
    5,
    FALSE
  ),
  ""
)
</f>
        <v>194738</v>
      </c>
      <c r="L35" s="37">
        <f t="shared" si="2"/>
        <v>0.7255534652</v>
      </c>
      <c r="M35" s="38"/>
    </row>
    <row r="36" ht="22.5" customHeight="1">
      <c r="A36" s="30">
        <v>230.0</v>
      </c>
      <c r="B36" s="31">
        <f>IFERROR(
  VLOOKUP(
    A36,
    'Bus Ridership'!$A:$B,
    2,
    FALSE
  ),
  ""
)
</f>
        <v>990036</v>
      </c>
      <c r="C36" s="32">
        <f>B36*'Free Fare Day Adjustment'!$H$3</f>
        <v>912832.825</v>
      </c>
      <c r="D36" s="31">
        <f>IFERROR(
  VLOOKUP(
    A36,
    'Bus Fare Counts'!$A:$F,
    6,
    FALSE
  ),
  ""
)
</f>
        <v>472565</v>
      </c>
      <c r="E36" s="33">
        <f t="shared" si="1"/>
        <v>0.4823093703</v>
      </c>
      <c r="F36" s="42"/>
      <c r="G36" s="35" t="s">
        <v>85</v>
      </c>
      <c r="H36" s="31">
        <f>IFERROR(
  VLOOKUP(
    G36,
    'Rail Ridership'!$D:$E,
    2,
    FALSE
  ),
  ""
)
</f>
        <v>661730</v>
      </c>
      <c r="I36" s="32">
        <f>H36*'Free Fare Day Adjustment'!$H$4</f>
        <v>612222.882</v>
      </c>
      <c r="J36" s="30" t="s">
        <v>86</v>
      </c>
      <c r="K36" s="36">
        <f>IFERROR(
  VLOOKUP(
    J36,
    'Station Fare Counts'!$A:$E,
    5,
    FALSE
  ),
  ""
)
</f>
        <v>171948</v>
      </c>
      <c r="L36" s="37">
        <f t="shared" si="2"/>
        <v>0.7191415005</v>
      </c>
      <c r="M36" s="38"/>
    </row>
    <row r="37" ht="22.5" customHeight="1">
      <c r="A37" s="30">
        <v>152.0</v>
      </c>
      <c r="B37" s="31">
        <f>IFERROR(
  VLOOKUP(
    A37,
    'Bus Ridership'!$A:$B,
    2,
    FALSE
  ),
  ""
)
</f>
        <v>3309208</v>
      </c>
      <c r="C37" s="32">
        <f>B37*'Free Fare Day Adjustment'!$H$3</f>
        <v>3051155.399</v>
      </c>
      <c r="D37" s="31">
        <f>IFERROR(
  VLOOKUP(
    A37,
    'Bus Fare Counts'!$A:$F,
    6,
    FALSE
  ),
  ""
)
</f>
        <v>1583987</v>
      </c>
      <c r="E37" s="33">
        <f t="shared" si="1"/>
        <v>0.4808566616</v>
      </c>
      <c r="F37" s="42"/>
      <c r="G37" s="35" t="s">
        <v>87</v>
      </c>
      <c r="H37" s="31">
        <f>IFERROR(
  VLOOKUP(
    G37,
    'Rail Ridership'!$D:$E,
    2,
    FALSE
  ),
  ""
)
</f>
        <v>125815</v>
      </c>
      <c r="I37" s="32">
        <f>H37*'Free Fare Day Adjustment'!$H$4</f>
        <v>116402.1911</v>
      </c>
      <c r="J37" s="30" t="s">
        <v>88</v>
      </c>
      <c r="K37" s="36">
        <f>IFERROR(
  VLOOKUP(
    J37,
    'Station Fare Counts'!$A:$E,
    5,
    FALSE
  ),
  ""
)
</f>
        <v>33304</v>
      </c>
      <c r="L37" s="37">
        <f t="shared" si="2"/>
        <v>0.7138885472</v>
      </c>
      <c r="M37" s="38"/>
    </row>
    <row r="38" ht="22.5" customHeight="1">
      <c r="A38" s="30">
        <v>240.0</v>
      </c>
      <c r="B38" s="31">
        <f>IFERROR(
  VLOOKUP(
    A38,
    'Bus Ridership'!$A:$B,
    2,
    FALSE
  ),
  ""
)
</f>
        <v>3823373</v>
      </c>
      <c r="C38" s="32">
        <f>B38*'Free Fare Day Adjustment'!$H$3</f>
        <v>3525225.726</v>
      </c>
      <c r="D38" s="31">
        <f>IFERROR(
  VLOOKUP(
    A38,
    'Bus Fare Counts'!$A:$F,
    6,
    FALSE
  ),
  ""
)
</f>
        <v>1833573</v>
      </c>
      <c r="E38" s="33">
        <f t="shared" si="1"/>
        <v>0.4798707536</v>
      </c>
      <c r="F38" s="42"/>
      <c r="G38" s="35" t="s">
        <v>89</v>
      </c>
      <c r="H38" s="31">
        <f>IFERROR(
  VLOOKUP(
    G38,
    'Rail Ridership'!$D:$E,
    2,
    FALSE
  ),
  ""
)
</f>
        <v>323890</v>
      </c>
      <c r="I38" s="32">
        <f>H38*'Free Fare Day Adjustment'!$H$4</f>
        <v>299658.2734</v>
      </c>
      <c r="J38" s="30" t="s">
        <v>90</v>
      </c>
      <c r="K38" s="36">
        <f>IFERROR(
  VLOOKUP(
    J38,
    'Station Fare Counts'!$A:$E,
    5,
    FALSE
  ),
  ""
)
</f>
        <v>87207</v>
      </c>
      <c r="L38" s="37">
        <f t="shared" si="2"/>
        <v>0.7089785007</v>
      </c>
      <c r="M38" s="38"/>
    </row>
    <row r="39" ht="22.5" customHeight="1">
      <c r="A39" s="30">
        <v>81.0</v>
      </c>
      <c r="B39" s="31">
        <f>IFERROR(
  VLOOKUP(
    A39,
    'Bus Ridership'!$A:$B,
    2,
    FALSE
  ),
  ""
)
</f>
        <v>3155341</v>
      </c>
      <c r="C39" s="32">
        <f>B39*'Free Fare Day Adjustment'!$H$3</f>
        <v>2909286.974</v>
      </c>
      <c r="D39" s="31">
        <f>IFERROR(
  VLOOKUP(
    A39,
    'Bus Fare Counts'!$A:$F,
    6,
    FALSE
  ),
  ""
)
</f>
        <v>1523129</v>
      </c>
      <c r="E39" s="33">
        <f t="shared" si="1"/>
        <v>0.4764596915</v>
      </c>
      <c r="F39" s="42"/>
      <c r="G39" s="35" t="s">
        <v>91</v>
      </c>
      <c r="H39" s="31">
        <f>IFERROR(
  VLOOKUP(
    G39,
    'Rail Ridership'!$D:$E,
    2,
    FALSE
  ),
  ""
)
</f>
        <v>596387</v>
      </c>
      <c r="I39" s="32">
        <f>H39*'Free Fare Day Adjustment'!$H$4</f>
        <v>551768.4976</v>
      </c>
      <c r="J39" s="30" t="s">
        <v>92</v>
      </c>
      <c r="K39" s="36">
        <f>IFERROR(
  VLOOKUP(
    J39,
    'Station Fare Counts'!$A:$E,
    5,
    FALSE
  ),
  ""
)
</f>
        <v>161219</v>
      </c>
      <c r="L39" s="37">
        <f t="shared" si="2"/>
        <v>0.7078140548</v>
      </c>
      <c r="M39" s="38"/>
    </row>
    <row r="40" ht="22.5" customHeight="1">
      <c r="A40" s="30">
        <v>108.0</v>
      </c>
      <c r="B40" s="31">
        <f>IFERROR(
  VLOOKUP(
    A40,
    'Bus Ridership'!$A:$B,
    2,
    FALSE
  ),
  ""
)
</f>
        <v>4532136</v>
      </c>
      <c r="C40" s="32">
        <f>B40*'Free Fare Day Adjustment'!$H$3</f>
        <v>4178719.267</v>
      </c>
      <c r="D40" s="31">
        <f>IFERROR(
  VLOOKUP(
    A40,
    'Bus Fare Counts'!$A:$F,
    6,
    FALSE
  ),
  ""
)
</f>
        <v>2222777</v>
      </c>
      <c r="E40" s="33">
        <f t="shared" si="1"/>
        <v>0.4680721872</v>
      </c>
      <c r="F40" s="42"/>
      <c r="G40" s="35" t="s">
        <v>93</v>
      </c>
      <c r="H40" s="31">
        <f>IFERROR(
  VLOOKUP(
    G40,
    'Rail Ridership'!$D:$E,
    2,
    FALSE
  ),
  ""
)
</f>
        <v>158546</v>
      </c>
      <c r="I40" s="32">
        <f>H40*'Free Fare Day Adjustment'!$H$4</f>
        <v>146684.4318</v>
      </c>
      <c r="J40" s="30" t="s">
        <v>94</v>
      </c>
      <c r="K40" s="36">
        <f>IFERROR(
  VLOOKUP(
    J40,
    'Station Fare Counts'!$A:$E,
    5,
    FALSE
  ),
  ""
)
</f>
        <v>43359</v>
      </c>
      <c r="L40" s="37">
        <f t="shared" si="2"/>
        <v>0.7044062586</v>
      </c>
      <c r="M40" s="38"/>
    </row>
    <row r="41" ht="22.5" customHeight="1">
      <c r="A41" s="30">
        <v>14.0</v>
      </c>
      <c r="B41" s="31">
        <f>IFERROR(
  VLOOKUP(
    A41,
    'Bus Ridership'!$A:$B,
    2,
    FALSE
  ),
  ""
)
</f>
        <v>3766391</v>
      </c>
      <c r="C41" s="32">
        <f>B41*'Free Fare Day Adjustment'!$H$3</f>
        <v>3472687.192</v>
      </c>
      <c r="D41" s="31">
        <f>IFERROR(
  VLOOKUP(
    A41,
    'Bus Fare Counts'!$A:$F,
    6,
    FALSE
  ),
  ""
)
</f>
        <v>1847588</v>
      </c>
      <c r="E41" s="33">
        <f t="shared" si="1"/>
        <v>0.4679659013</v>
      </c>
      <c r="F41" s="42"/>
      <c r="G41" s="35" t="s">
        <v>95</v>
      </c>
      <c r="H41" s="31">
        <f>IFERROR(
  VLOOKUP(
    G41,
    'Rail Ridership'!$D:$E,
    2,
    FALSE
  ),
  ""
)
</f>
        <v>444996</v>
      </c>
      <c r="I41" s="32">
        <f>H41*'Free Fare Day Adjustment'!$H$4</f>
        <v>411703.7668</v>
      </c>
      <c r="J41" s="30" t="s">
        <v>96</v>
      </c>
      <c r="K41" s="36">
        <f>IFERROR(
  VLOOKUP(
    J41,
    'Station Fare Counts'!$A:$E,
    5,
    FALSE
  ),
  ""
)
</f>
        <v>123664</v>
      </c>
      <c r="L41" s="37">
        <f t="shared" si="2"/>
        <v>0.6996286894</v>
      </c>
      <c r="M41" s="38"/>
    </row>
    <row r="42" ht="22.5" customHeight="1">
      <c r="A42" s="30">
        <v>55.0</v>
      </c>
      <c r="B42" s="31">
        <f>IFERROR(
  VLOOKUP(
    A42,
    'Bus Ridership'!$A:$B,
    2,
    FALSE
  ),
  ""
)
</f>
        <v>2374714</v>
      </c>
      <c r="C42" s="32">
        <f>B42*'Free Fare Day Adjustment'!$H$3</f>
        <v>2189533.4</v>
      </c>
      <c r="D42" s="31">
        <f>IFERROR(
  VLOOKUP(
    A42,
    'Bus Fare Counts'!$A:$F,
    6,
    FALSE
  ),
  ""
)
</f>
        <v>1170793</v>
      </c>
      <c r="E42" s="33">
        <f t="shared" si="1"/>
        <v>0.4652773965</v>
      </c>
      <c r="F42" s="42"/>
      <c r="G42" s="35" t="s">
        <v>97</v>
      </c>
      <c r="H42" s="31">
        <f>IFERROR(
  VLOOKUP(
    G42,
    'Rail Ridership'!$D:$E,
    2,
    FALSE
  ),
  ""
)
</f>
        <v>446411</v>
      </c>
      <c r="I42" s="32">
        <f>H42*'Free Fare Day Adjustment'!$H$4</f>
        <v>413012.904</v>
      </c>
      <c r="J42" s="30" t="s">
        <v>98</v>
      </c>
      <c r="K42" s="36">
        <f>IFERROR(
  VLOOKUP(
    J42,
    'Station Fare Counts'!$A:$E,
    5,
    FALSE
  ),
  ""
)
</f>
        <v>125783</v>
      </c>
      <c r="L42" s="37">
        <f t="shared" si="2"/>
        <v>0.6954501935</v>
      </c>
      <c r="M42" s="38"/>
    </row>
    <row r="43" ht="22.5" customHeight="1">
      <c r="A43" s="30">
        <v>162.0</v>
      </c>
      <c r="B43" s="31">
        <f>IFERROR(
  VLOOKUP(
    A43,
    'Bus Ridership'!$A:$B,
    2,
    FALSE
  ),
  ""
)
</f>
        <v>3147996</v>
      </c>
      <c r="C43" s="32">
        <f>B43*'Free Fare Day Adjustment'!$H$3</f>
        <v>2902514.738</v>
      </c>
      <c r="D43" s="31">
        <f>IFERROR(
  VLOOKUP(
    A43,
    'Bus Fare Counts'!$A:$F,
    6,
    FALSE
  ),
  ""
)
</f>
        <v>1561516</v>
      </c>
      <c r="E43" s="33">
        <f t="shared" si="1"/>
        <v>0.4620127232</v>
      </c>
      <c r="F43" s="42"/>
      <c r="G43" s="35" t="s">
        <v>99</v>
      </c>
      <c r="H43" s="31">
        <f>IFERROR(
  VLOOKUP(
    G43,
    'Rail Ridership'!$D:$E,
    2,
    FALSE
  ),
  ""
)
</f>
        <v>392697</v>
      </c>
      <c r="I43" s="32">
        <f>H43*'Free Fare Day Adjustment'!$H$4</f>
        <v>363317.4997</v>
      </c>
      <c r="J43" s="30" t="s">
        <v>100</v>
      </c>
      <c r="K43" s="36">
        <f>IFERROR(
  VLOOKUP(
    J43,
    'Station Fare Counts'!$A:$E,
    5,
    FALSE
  ),
  ""
)
</f>
        <v>111339</v>
      </c>
      <c r="L43" s="37">
        <f t="shared" si="2"/>
        <v>0.6935490306</v>
      </c>
      <c r="M43" s="38"/>
    </row>
    <row r="44" ht="22.5" customHeight="1">
      <c r="A44" s="30">
        <v>206.0</v>
      </c>
      <c r="B44" s="31">
        <f>IFERROR(
  VLOOKUP(
    A44,
    'Bus Ridership'!$A:$B,
    2,
    FALSE
  ),
  ""
)
</f>
        <v>2918366</v>
      </c>
      <c r="C44" s="32">
        <f>B44*'Free Fare Day Adjustment'!$H$3</f>
        <v>2690791.325</v>
      </c>
      <c r="D44" s="31">
        <f>IFERROR(
  VLOOKUP(
    A44,
    'Bus Fare Counts'!$A:$F,
    6,
    FALSE
  ),
  ""
)
</f>
        <v>1448903</v>
      </c>
      <c r="E44" s="33">
        <f t="shared" si="1"/>
        <v>0.4615327519</v>
      </c>
      <c r="F44" s="42"/>
      <c r="G44" s="35" t="s">
        <v>101</v>
      </c>
      <c r="H44" s="31">
        <f>IFERROR(
  VLOOKUP(
    G44,
    'Rail Ridership'!$D:$E,
    2,
    FALSE
  ),
  ""
)
</f>
        <v>470596</v>
      </c>
      <c r="I44" s="32">
        <f>H44*'Free Fare Day Adjustment'!$H$4</f>
        <v>435388.511</v>
      </c>
      <c r="J44" s="30" t="s">
        <v>102</v>
      </c>
      <c r="K44" s="36">
        <f>IFERROR(
  VLOOKUP(
    J44,
    'Station Fare Counts'!$A:$E,
    5,
    FALSE
  ),
  ""
)
</f>
        <v>134710</v>
      </c>
      <c r="L44" s="37">
        <f t="shared" si="2"/>
        <v>0.6905981747</v>
      </c>
      <c r="M44" s="38"/>
    </row>
    <row r="45" ht="22.5" customHeight="1">
      <c r="A45" s="30">
        <v>242.0</v>
      </c>
      <c r="B45" s="31">
        <f>IFERROR(
  VLOOKUP(
    A45,
    'Bus Ridership'!$A:$B,
    2,
    FALSE
  ),
  ""
)
</f>
        <v>580208</v>
      </c>
      <c r="C45" s="32">
        <f>B45*'Free Fare Day Adjustment'!$H$3</f>
        <v>534963.2818</v>
      </c>
      <c r="D45" s="31">
        <f>IFERROR(
  VLOOKUP(
    A45,
    'Bus Fare Counts'!$A:$F,
    6,
    FALSE
  ),
  ""
)
</f>
        <v>291216</v>
      </c>
      <c r="E45" s="33">
        <f t="shared" si="1"/>
        <v>0.4556336671</v>
      </c>
      <c r="F45" s="42"/>
      <c r="G45" s="35" t="s">
        <v>103</v>
      </c>
      <c r="H45" s="31">
        <f>IFERROR(
  VLOOKUP(
    G45,
    'Rail Ridership'!$D:$E,
    2,
    FALSE
  ),
  ""
)
</f>
        <v>286533</v>
      </c>
      <c r="I45" s="32">
        <f>H45*'Free Fare Day Adjustment'!$H$4</f>
        <v>265096.1254</v>
      </c>
      <c r="J45" s="30" t="s">
        <v>104</v>
      </c>
      <c r="K45" s="36">
        <f>IFERROR(
  VLOOKUP(
    J45,
    'Station Fare Counts'!$A:$E,
    5,
    FALSE
  ),
  ""
)
</f>
        <v>82521</v>
      </c>
      <c r="L45" s="37">
        <f t="shared" si="2"/>
        <v>0.6887129154</v>
      </c>
      <c r="M45" s="38"/>
    </row>
    <row r="46" ht="22.5" customHeight="1">
      <c r="A46" s="30">
        <v>166.0</v>
      </c>
      <c r="B46" s="31">
        <f>IFERROR(
  VLOOKUP(
    A46,
    'Bus Ridership'!$A:$B,
    2,
    FALSE
  ),
  ""
)
</f>
        <v>1914177</v>
      </c>
      <c r="C46" s="32">
        <f>B46*'Free Fare Day Adjustment'!$H$3</f>
        <v>1764909.153</v>
      </c>
      <c r="D46" s="31">
        <f>IFERROR(
  VLOOKUP(
    A46,
    'Bus Fare Counts'!$A:$F,
    6,
    FALSE
  ),
  ""
)
</f>
        <v>961401</v>
      </c>
      <c r="E46" s="33">
        <f t="shared" si="1"/>
        <v>0.4552688458</v>
      </c>
      <c r="F46" s="42"/>
      <c r="G46" s="35" t="s">
        <v>105</v>
      </c>
      <c r="H46" s="31">
        <f>IFERROR(
  VLOOKUP(
    G46,
    'Rail Ridership'!$D:$E,
    2,
    FALSE
  ),
  ""
)
</f>
        <v>216048</v>
      </c>
      <c r="I46" s="32">
        <f>H46*'Free Fare Day Adjustment'!$H$4</f>
        <v>199884.4381</v>
      </c>
      <c r="J46" s="30" t="s">
        <v>106</v>
      </c>
      <c r="K46" s="36">
        <f>IFERROR(
  VLOOKUP(
    J46,
    'Station Fare Counts'!$A:$E,
    5,
    FALSE
  ),
  ""
)
</f>
        <v>62438</v>
      </c>
      <c r="L46" s="37">
        <f t="shared" si="2"/>
        <v>0.6876295093</v>
      </c>
      <c r="M46" s="38"/>
    </row>
    <row r="47" ht="22.5" customHeight="1">
      <c r="A47" s="30">
        <v>212.0</v>
      </c>
      <c r="B47" s="31">
        <f>IFERROR(
  VLOOKUP(
    A47,
    'Bus Ridership'!$A:$B,
    2,
    FALSE
  ),
  ""
)
</f>
        <v>3002540</v>
      </c>
      <c r="C47" s="32">
        <f>B47*'Free Fare Day Adjustment'!$H$3</f>
        <v>2768401.422</v>
      </c>
      <c r="D47" s="31">
        <f>IFERROR(
  VLOOKUP(
    A47,
    'Bus Fare Counts'!$A:$F,
    6,
    FALSE
  ),
  ""
)
</f>
        <v>1511324</v>
      </c>
      <c r="E47" s="33">
        <f t="shared" si="1"/>
        <v>0.4540806156</v>
      </c>
      <c r="F47" s="42"/>
      <c r="G47" s="35" t="s">
        <v>107</v>
      </c>
      <c r="H47" s="31">
        <f>IFERROR(
  VLOOKUP(
    G47,
    'Rail Ridership'!$D:$E,
    2,
    FALSE
  ),
  ""
)
</f>
        <v>155596</v>
      </c>
      <c r="I47" s="32">
        <f>H47*'Free Fare Day Adjustment'!$H$4</f>
        <v>143955.1351</v>
      </c>
      <c r="J47" s="30" t="s">
        <v>108</v>
      </c>
      <c r="K47" s="36">
        <f>IFERROR(
  VLOOKUP(
    J47,
    'Station Fare Counts'!$A:$E,
    5,
    FALSE
  ),
  ""
)
</f>
        <v>46488</v>
      </c>
      <c r="L47" s="37">
        <f t="shared" si="2"/>
        <v>0.6770660528</v>
      </c>
      <c r="M47" s="38"/>
    </row>
    <row r="48" ht="22.5" customHeight="1">
      <c r="A48" s="30">
        <v>224.0</v>
      </c>
      <c r="B48" s="31">
        <f>IFERROR(
  VLOOKUP(
    A48,
    'Bus Ridership'!$A:$B,
    2,
    FALSE
  ),
  ""
)
</f>
        <v>2093238</v>
      </c>
      <c r="C48" s="32">
        <f>B48*'Free Fare Day Adjustment'!$H$3</f>
        <v>1930006.946</v>
      </c>
      <c r="D48" s="31">
        <f>IFERROR(
  VLOOKUP(
    A48,
    'Bus Fare Counts'!$A:$F,
    6,
    FALSE
  ),
  ""
)
</f>
        <v>1059100</v>
      </c>
      <c r="E48" s="33">
        <f t="shared" si="1"/>
        <v>0.4512454983</v>
      </c>
      <c r="F48" s="42"/>
      <c r="G48" s="35" t="s">
        <v>109</v>
      </c>
      <c r="H48" s="31">
        <f>IFERROR(
  VLOOKUP(
    G48,
    'Rail Ridership'!$D:$E,
    2,
    FALSE
  ),
  ""
)
</f>
        <v>417782</v>
      </c>
      <c r="I48" s="32">
        <f>H48*'Free Fare Day Adjustment'!$H$4</f>
        <v>386525.7735</v>
      </c>
      <c r="J48" s="30" t="s">
        <v>110</v>
      </c>
      <c r="K48" s="36">
        <f>IFERROR(
  VLOOKUP(
    J48,
    'Station Fare Counts'!$A:$E,
    5,
    FALSE
  ),
  ""
)
</f>
        <v>126253</v>
      </c>
      <c r="L48" s="37">
        <f t="shared" si="2"/>
        <v>0.6733646016</v>
      </c>
      <c r="M48" s="38"/>
    </row>
    <row r="49" ht="22.5" customHeight="1">
      <c r="A49" s="30">
        <v>234.0</v>
      </c>
      <c r="B49" s="31">
        <f>IFERROR(
  VLOOKUP(
    A49,
    'Bus Ridership'!$A:$B,
    2,
    FALSE
  ),
  ""
)
</f>
        <v>2801386</v>
      </c>
      <c r="C49" s="32">
        <f>B49*'Free Fare Day Adjustment'!$H$3</f>
        <v>2582933.445</v>
      </c>
      <c r="D49" s="31">
        <f>IFERROR(
  VLOOKUP(
    A49,
    'Bus Fare Counts'!$A:$F,
    6,
    FALSE
  ),
  ""
)
</f>
        <v>1425560</v>
      </c>
      <c r="E49" s="33">
        <f t="shared" si="1"/>
        <v>0.4480848886</v>
      </c>
      <c r="F49" s="42"/>
      <c r="G49" s="35" t="s">
        <v>111</v>
      </c>
      <c r="H49" s="31">
        <f>IFERROR(
  VLOOKUP(
    G49,
    'Rail Ridership'!$D:$E,
    2,
    FALSE
  ),
  ""
)
</f>
        <v>893584</v>
      </c>
      <c r="I49" s="32">
        <f>H49*'Free Fare Day Adjustment'!$H$4</f>
        <v>826730.7992</v>
      </c>
      <c r="J49" s="30" t="s">
        <v>112</v>
      </c>
      <c r="K49" s="36">
        <f>IFERROR(
  VLOOKUP(
    J49,
    'Station Fare Counts'!$A:$E,
    5,
    FALSE
  ),
  ""
)
</f>
        <v>277354</v>
      </c>
      <c r="L49" s="37">
        <f t="shared" si="2"/>
        <v>0.6645171557</v>
      </c>
      <c r="M49" s="38"/>
    </row>
    <row r="50" ht="22.5" customHeight="1">
      <c r="A50" s="30">
        <v>110.0</v>
      </c>
      <c r="B50" s="31">
        <f>IFERROR(
  VLOOKUP(
    A50,
    'Bus Ridership'!$A:$B,
    2,
    FALSE
  ),
  ""
)
</f>
        <v>2361663</v>
      </c>
      <c r="C50" s="32">
        <f>B50*'Free Fare Day Adjustment'!$H$3</f>
        <v>2177500.119</v>
      </c>
      <c r="D50" s="31">
        <f>IFERROR(
  VLOOKUP(
    A50,
    'Bus Fare Counts'!$A:$F,
    6,
    FALSE
  ),
  ""
)
</f>
        <v>1202174</v>
      </c>
      <c r="E50" s="33">
        <f t="shared" si="1"/>
        <v>0.4479109372</v>
      </c>
      <c r="F50" s="42"/>
      <c r="G50" s="35" t="s">
        <v>113</v>
      </c>
      <c r="H50" s="31">
        <f>IFERROR(
  VLOOKUP(
    G50,
    'Rail Ridership'!$D:$E,
    2,
    FALSE
  ),
  ""
)
</f>
        <v>100775</v>
      </c>
      <c r="I50" s="32">
        <f>H50*'Free Fare Day Adjustment'!$H$4</f>
        <v>93235.55065</v>
      </c>
      <c r="J50" s="30" t="s">
        <v>114</v>
      </c>
      <c r="K50" s="36">
        <f>IFERROR(
  VLOOKUP(
    J50,
    'Station Fare Counts'!$A:$E,
    5,
    FALSE
  ),
  ""
)
</f>
        <v>31364</v>
      </c>
      <c r="L50" s="37">
        <f t="shared" si="2"/>
        <v>0.6636047111</v>
      </c>
      <c r="M50" s="38"/>
    </row>
    <row r="51" ht="22.5" customHeight="1">
      <c r="A51" s="30">
        <v>2.0</v>
      </c>
      <c r="B51" s="31">
        <f>IFERROR(
  VLOOKUP(
    A51,
    'Bus Ridership'!$A:$B,
    2,
    FALSE
  ),
  ""
)
</f>
        <v>6166572</v>
      </c>
      <c r="C51" s="32">
        <f>B51*'Free Fare Day Adjustment'!$H$3</f>
        <v>5685701.671</v>
      </c>
      <c r="D51" s="31">
        <f>IFERROR(
  VLOOKUP(
    A51,
    'Bus Fare Counts'!$A:$F,
    6,
    FALSE
  ),
  ""
)
</f>
        <v>3142061</v>
      </c>
      <c r="E51" s="33">
        <f t="shared" si="1"/>
        <v>0.4473749799</v>
      </c>
      <c r="F51" s="42"/>
      <c r="G51" s="35" t="s">
        <v>115</v>
      </c>
      <c r="H51" s="31">
        <f>IFERROR(
  VLOOKUP(
    G51,
    'Rail Ridership'!$D:$E,
    2,
    FALSE
  ),
  ""
)
</f>
        <v>435446</v>
      </c>
      <c r="I51" s="32">
        <f>H51*'Free Fare Day Adjustment'!$H$4</f>
        <v>402868.247</v>
      </c>
      <c r="J51" s="30" t="s">
        <v>116</v>
      </c>
      <c r="K51" s="36">
        <f>IFERROR(
  VLOOKUP(
    J51,
    'Station Fare Counts'!$A:$E,
    5,
    FALSE
  ),
  ""
)
</f>
        <v>136784</v>
      </c>
      <c r="L51" s="37">
        <f t="shared" si="2"/>
        <v>0.6604746067</v>
      </c>
      <c r="M51" s="38"/>
    </row>
    <row r="52" ht="22.5" customHeight="1">
      <c r="A52" s="30">
        <v>60.0</v>
      </c>
      <c r="B52" s="31">
        <f>IFERROR(
  VLOOKUP(
    A52,
    'Bus Ridership'!$A:$B,
    2,
    FALSE
  ),
  ""
)
</f>
        <v>4358059</v>
      </c>
      <c r="C52" s="32">
        <f>B52*'Free Fare Day Adjustment'!$H$3</f>
        <v>4018216.821</v>
      </c>
      <c r="D52" s="31">
        <f>IFERROR(
  VLOOKUP(
    A52,
    'Bus Fare Counts'!$A:$F,
    6,
    FALSE
  ),
  ""
)
</f>
        <v>2221664</v>
      </c>
      <c r="E52" s="33">
        <f t="shared" si="1"/>
        <v>0.4471020109</v>
      </c>
      <c r="F52" s="42"/>
      <c r="G52" s="35" t="s">
        <v>117</v>
      </c>
      <c r="H52" s="31">
        <f>IFERROR(
  VLOOKUP(
    G52,
    'Rail Ridership'!$D:$E,
    2,
    FALSE
  ),
  ""
)
</f>
        <v>508800</v>
      </c>
      <c r="I52" s="32">
        <f>H52*'Free Fare Day Adjustment'!$H$4</f>
        <v>470734.291</v>
      </c>
      <c r="J52" s="30" t="s">
        <v>118</v>
      </c>
      <c r="K52" s="36">
        <f>IFERROR(
  VLOOKUP(
    J52,
    'Station Fare Counts'!$A:$E,
    5,
    FALSE
  ),
  ""
)
</f>
        <v>161687</v>
      </c>
      <c r="L52" s="37">
        <f t="shared" si="2"/>
        <v>0.6565217298</v>
      </c>
      <c r="M52" s="38"/>
    </row>
    <row r="53" ht="22.5" customHeight="1">
      <c r="A53" s="30">
        <v>125.0</v>
      </c>
      <c r="B53" s="31">
        <f>IFERROR(
  VLOOKUP(
    A53,
    'Bus Ridership'!$A:$B,
    2,
    FALSE
  ),
  ""
)
</f>
        <v>1586118</v>
      </c>
      <c r="C53" s="32">
        <f>B53*'Free Fare Day Adjustment'!$H$3</f>
        <v>1462432.25</v>
      </c>
      <c r="D53" s="31">
        <f>IFERROR(
  VLOOKUP(
    A53,
    'Bus Fare Counts'!$A:$F,
    6,
    FALSE
  ),
  ""
)
</f>
        <v>810224</v>
      </c>
      <c r="E53" s="33">
        <f t="shared" si="1"/>
        <v>0.4459750185</v>
      </c>
      <c r="F53" s="42"/>
      <c r="G53" s="35" t="s">
        <v>119</v>
      </c>
      <c r="H53" s="31">
        <f>IFERROR(
  VLOOKUP(
    G53,
    'Rail Ridership'!$D:$E,
    2,
    FALSE
  ),
  ""
)
</f>
        <v>334353</v>
      </c>
      <c r="I53" s="32">
        <f>H53*'Free Fare Day Adjustment'!$H$4</f>
        <v>309338.4874</v>
      </c>
      <c r="J53" s="30" t="s">
        <v>120</v>
      </c>
      <c r="K53" s="36">
        <f>IFERROR(
  VLOOKUP(
    J53,
    'Station Fare Counts'!$A:$E,
    5,
    FALSE
  ),
  ""
)
</f>
        <v>109275</v>
      </c>
      <c r="L53" s="37">
        <f t="shared" si="2"/>
        <v>0.6467461876</v>
      </c>
      <c r="M53" s="38"/>
    </row>
    <row r="54" ht="22.5" customHeight="1">
      <c r="A54" s="30">
        <v>35.0</v>
      </c>
      <c r="B54" s="31">
        <f>IFERROR(
  VLOOKUP(
    A54,
    'Bus Ridership'!$A:$B,
    2,
    FALSE
  ),
  ""
)
</f>
        <v>1607672</v>
      </c>
      <c r="C54" s="32">
        <f>B54*'Free Fare Day Adjustment'!$H$3</f>
        <v>1482305.465</v>
      </c>
      <c r="D54" s="31">
        <f>IFERROR(
  VLOOKUP(
    A54,
    'Bus Fare Counts'!$A:$F,
    6,
    FALSE
  ),
  ""
)
</f>
        <v>829343</v>
      </c>
      <c r="E54" s="33">
        <f t="shared" si="1"/>
        <v>0.4405046601</v>
      </c>
      <c r="F54" s="42"/>
      <c r="G54" s="35" t="s">
        <v>121</v>
      </c>
      <c r="H54" s="31">
        <f>IFERROR(
  VLOOKUP(
    G54,
    'Rail Ridership'!$D:$E,
    2,
    FALSE
  ),
  ""
)
</f>
        <v>91685</v>
      </c>
      <c r="I54" s="32">
        <f>H54*'Free Fare Day Adjustment'!$H$4</f>
        <v>84825.61609</v>
      </c>
      <c r="J54" s="30" t="s">
        <v>122</v>
      </c>
      <c r="K54" s="36">
        <f>IFERROR(
  VLOOKUP(
    J54,
    'Station Fare Counts'!$A:$E,
    5,
    FALSE
  ),
  ""
)
</f>
        <v>30311</v>
      </c>
      <c r="L54" s="37">
        <f t="shared" si="2"/>
        <v>0.6426669042</v>
      </c>
      <c r="M54" s="38"/>
    </row>
    <row r="55" ht="22.5" customHeight="1">
      <c r="A55" s="30">
        <v>10.0</v>
      </c>
      <c r="B55" s="31">
        <f>IFERROR(
  VLOOKUP(
    A55,
    'Bus Ridership'!$A:$B,
    2,
    FALSE
  ),
  ""
)
</f>
        <v>2236005</v>
      </c>
      <c r="C55" s="32">
        <f>B55*'Free Fare Day Adjustment'!$H$3</f>
        <v>2061640.951</v>
      </c>
      <c r="D55" s="31">
        <f>IFERROR(
  VLOOKUP(
    A55,
    'Bus Fare Counts'!$A:$F,
    6,
    FALSE
  ),
  ""
)
</f>
        <v>1159089</v>
      </c>
      <c r="E55" s="33">
        <f t="shared" si="1"/>
        <v>0.4377832865</v>
      </c>
      <c r="F55" s="42"/>
      <c r="G55" s="35" t="s">
        <v>123</v>
      </c>
      <c r="H55" s="31">
        <f>IFERROR(
  VLOOKUP(
    G55,
    'Rail Ridership'!$D:$E,
    2,
    FALSE
  ),
  ""
)
</f>
        <v>695153</v>
      </c>
      <c r="I55" s="32">
        <f>H55*'Free Fare Day Adjustment'!$H$4</f>
        <v>643145.3509</v>
      </c>
      <c r="J55" s="30" t="s">
        <v>124</v>
      </c>
      <c r="K55" s="36">
        <f>IFERROR(
  VLOOKUP(
    J55,
    'Station Fare Counts'!$A:$E,
    5,
    FALSE
  ),
  ""
)
</f>
        <v>233977</v>
      </c>
      <c r="L55" s="37">
        <f t="shared" si="2"/>
        <v>0.6361988784</v>
      </c>
      <c r="M55" s="38"/>
    </row>
    <row r="56" ht="22.5" customHeight="1">
      <c r="A56" s="30">
        <v>761.0</v>
      </c>
      <c r="B56" s="31">
        <f>IFERROR(
  VLOOKUP(
    A56,
    'Bus Ridership'!$A:$B,
    2,
    FALSE
  ),
  ""
)
</f>
        <v>2135893</v>
      </c>
      <c r="C56" s="32">
        <f>B56*'Free Fare Day Adjustment'!$H$3</f>
        <v>1969335.702</v>
      </c>
      <c r="D56" s="31">
        <f>IFERROR(
  VLOOKUP(
    A56,
    'Bus Fare Counts'!$A:$F,
    6,
    FALSE
  ),
  ""
)
</f>
        <v>1110164</v>
      </c>
      <c r="E56" s="33">
        <f t="shared" si="1"/>
        <v>0.4362748825</v>
      </c>
      <c r="F56" s="42"/>
      <c r="G56" s="35" t="s">
        <v>125</v>
      </c>
      <c r="H56" s="31">
        <f>IFERROR(
  VLOOKUP(
    G56,
    'Rail Ridership'!$D:$E,
    2,
    FALSE
  ),
  ""
)
</f>
        <v>197029</v>
      </c>
      <c r="I56" s="32">
        <f>H56*'Free Fare Day Adjustment'!$H$4</f>
        <v>182288.3385</v>
      </c>
      <c r="J56" s="30" t="s">
        <v>126</v>
      </c>
      <c r="K56" s="36">
        <f>IFERROR(
  VLOOKUP(
    J56,
    'Station Fare Counts'!$A:$E,
    5,
    FALSE
  ),
  ""
)
</f>
        <v>66847</v>
      </c>
      <c r="L56" s="37">
        <f t="shared" si="2"/>
        <v>0.6332897619</v>
      </c>
      <c r="M56" s="38"/>
    </row>
    <row r="57" ht="22.5" customHeight="1">
      <c r="A57" s="30">
        <v>218.0</v>
      </c>
      <c r="B57" s="31">
        <f>IFERROR(
  VLOOKUP(
    A57,
    'Bus Ridership'!$A:$B,
    2,
    FALSE
  ),
  ""
)
</f>
        <v>214952</v>
      </c>
      <c r="C57" s="32">
        <f>B57*'Free Fare Day Adjustment'!$H$3</f>
        <v>198190.0066</v>
      </c>
      <c r="D57" s="31">
        <f>IFERROR(
  VLOOKUP(
    A57,
    'Bus Fare Counts'!$A:$F,
    6,
    FALSE
  ),
  ""
)
</f>
        <v>111889</v>
      </c>
      <c r="E57" s="33">
        <f t="shared" si="1"/>
        <v>0.4354458032</v>
      </c>
      <c r="F57" s="42"/>
      <c r="G57" s="35" t="s">
        <v>127</v>
      </c>
      <c r="H57" s="31">
        <f>IFERROR(
  VLOOKUP(
    G57,
    'Rail Ridership'!$D:$E,
    2,
    FALSE
  ),
  ""
)
</f>
        <v>320971</v>
      </c>
      <c r="I57" s="32">
        <f>H57*'Free Fare Day Adjustment'!$H$4</f>
        <v>296957.6574</v>
      </c>
      <c r="J57" s="30" t="s">
        <v>128</v>
      </c>
      <c r="K57" s="36">
        <f>IFERROR(
  VLOOKUP(
    J57,
    'Station Fare Counts'!$A:$E,
    5,
    FALSE
  ),
  ""
)
</f>
        <v>109361</v>
      </c>
      <c r="L57" s="37">
        <f t="shared" si="2"/>
        <v>0.6317286412</v>
      </c>
      <c r="M57" s="38"/>
    </row>
    <row r="58" ht="22.5" customHeight="1">
      <c r="A58" s="30">
        <v>28.0</v>
      </c>
      <c r="B58" s="31">
        <f>IFERROR(
  VLOOKUP(
    A58,
    'Bus Ridership'!$A:$B,
    2,
    FALSE
  ),
  ""
)
</f>
        <v>3331543</v>
      </c>
      <c r="C58" s="32">
        <f>B58*'Free Fare Day Adjustment'!$H$3</f>
        <v>3071748.712</v>
      </c>
      <c r="D58" s="31">
        <f>IFERROR(
  VLOOKUP(
    A58,
    'Bus Fare Counts'!$A:$F,
    6,
    FALSE
  ),
  ""
)
</f>
        <v>1757653</v>
      </c>
      <c r="E58" s="33">
        <f t="shared" si="1"/>
        <v>0.4278005252</v>
      </c>
      <c r="F58" s="42"/>
      <c r="G58" s="35" t="s">
        <v>129</v>
      </c>
      <c r="H58" s="31">
        <f>IFERROR(
  VLOOKUP(
    G58,
    'Rail Ridership'!$D:$E,
    2,
    FALSE
  ),
  ""
)
</f>
        <v>151867</v>
      </c>
      <c r="I58" s="32">
        <f>H58*'Free Fare Day Adjustment'!$H$4</f>
        <v>140505.119</v>
      </c>
      <c r="J58" s="30" t="s">
        <v>130</v>
      </c>
      <c r="K58" s="36">
        <f>IFERROR(
  VLOOKUP(
    J58,
    'Station Fare Counts'!$A:$E,
    5,
    FALSE
  ),
  ""
)
</f>
        <v>52297</v>
      </c>
      <c r="L58" s="37">
        <f t="shared" si="2"/>
        <v>0.6277929206</v>
      </c>
      <c r="M58" s="38"/>
    </row>
    <row r="59" ht="22.5" customHeight="1">
      <c r="A59" s="30">
        <v>217.0</v>
      </c>
      <c r="B59" s="31">
        <f>IFERROR(
  VLOOKUP(
    A59,
    'Bus Ridership'!$A:$B,
    2,
    FALSE
  ),
  ""
)
</f>
        <v>3615395</v>
      </c>
      <c r="C59" s="32">
        <f>B59*'Free Fare Day Adjustment'!$H$3</f>
        <v>3333465.885</v>
      </c>
      <c r="D59" s="31">
        <f>IFERROR(
  VLOOKUP(
    A59,
    'Bus Fare Counts'!$A:$F,
    6,
    FALSE
  ),
  ""
)
</f>
        <v>1914954</v>
      </c>
      <c r="E59" s="33">
        <f t="shared" si="1"/>
        <v>0.4255366439</v>
      </c>
      <c r="F59" s="42"/>
      <c r="G59" s="35" t="s">
        <v>131</v>
      </c>
      <c r="H59" s="31">
        <f>IFERROR(
  VLOOKUP(
    G59,
    'Rail Ridership'!$D:$E,
    2,
    FALSE
  ),
  ""
)
</f>
        <v>1660313</v>
      </c>
      <c r="I59" s="32">
        <f>H59*'Free Fare Day Adjustment'!$H$4</f>
        <v>1536097.215</v>
      </c>
      <c r="J59" s="30" t="s">
        <v>132</v>
      </c>
      <c r="K59" s="36">
        <f>IFERROR(
  VLOOKUP(
    J59,
    'Station Fare Counts'!$A:$E,
    5,
    FALSE
  ),
  ""
)
</f>
        <v>572442</v>
      </c>
      <c r="L59" s="37">
        <f t="shared" si="2"/>
        <v>0.6273399922</v>
      </c>
      <c r="M59" s="38"/>
    </row>
    <row r="60" ht="22.5" customHeight="1">
      <c r="A60" s="30">
        <v>127.0</v>
      </c>
      <c r="B60" s="31">
        <f>IFERROR(
  VLOOKUP(
    A60,
    'Bus Ridership'!$A:$B,
    2,
    FALSE
  ),
  ""
)
</f>
        <v>592183</v>
      </c>
      <c r="C60" s="32">
        <f>B60*'Free Fare Day Adjustment'!$H$3</f>
        <v>546004.4693</v>
      </c>
      <c r="D60" s="31">
        <f>IFERROR(
  VLOOKUP(
    A60,
    'Bus Fare Counts'!$A:$F,
    6,
    FALSE
  ),
  ""
)
</f>
        <v>313700</v>
      </c>
      <c r="E60" s="33">
        <f t="shared" si="1"/>
        <v>0.4254625784</v>
      </c>
      <c r="F60" s="42"/>
      <c r="G60" s="35" t="s">
        <v>133</v>
      </c>
      <c r="H60" s="31">
        <f>IFERROR(
  VLOOKUP(
    G60,
    'Rail Ridership'!$D:$E,
    2,
    FALSE
  ),
  ""
)
</f>
        <v>151375</v>
      </c>
      <c r="I60" s="32">
        <f>H60*'Free Fare Day Adjustment'!$H$4</f>
        <v>140049.9279</v>
      </c>
      <c r="J60" s="30" t="s">
        <v>134</v>
      </c>
      <c r="K60" s="36">
        <f>IFERROR(
  VLOOKUP(
    J60,
    'Station Fare Counts'!$A:$E,
    5,
    FALSE
  ),
  ""
)
</f>
        <v>52463</v>
      </c>
      <c r="L60" s="37">
        <f t="shared" si="2"/>
        <v>0.6253978791</v>
      </c>
      <c r="M60" s="38"/>
    </row>
    <row r="61" ht="22.5" customHeight="1">
      <c r="A61" s="30">
        <v>690.0</v>
      </c>
      <c r="B61" s="31">
        <f>IFERROR(
  VLOOKUP(
    A61,
    'Bus Ridership'!$A:$B,
    2,
    FALSE
  ),
  ""
)
</f>
        <v>345321</v>
      </c>
      <c r="C61" s="32">
        <f>B61*'Free Fare Day Adjustment'!$H$3</f>
        <v>318392.8099</v>
      </c>
      <c r="D61" s="31">
        <f>IFERROR(
  VLOOKUP(
    A61,
    'Bus Fare Counts'!$A:$F,
    6,
    FALSE
  ),
  ""
)
</f>
        <v>184009</v>
      </c>
      <c r="E61" s="33">
        <f t="shared" si="1"/>
        <v>0.4220692356</v>
      </c>
      <c r="F61" s="42"/>
      <c r="G61" s="35" t="s">
        <v>135</v>
      </c>
      <c r="H61" s="31">
        <f>IFERROR(
  VLOOKUP(
    G61,
    'Rail Ridership'!$D:$E,
    2,
    FALSE
  ),
  ""
)
</f>
        <v>406909</v>
      </c>
      <c r="I61" s="32">
        <f>H61*'Free Fare Day Adjustment'!$H$4</f>
        <v>376466.2335</v>
      </c>
      <c r="J61" s="30" t="s">
        <v>136</v>
      </c>
      <c r="K61" s="36">
        <f>IFERROR(
  VLOOKUP(
    J61,
    'Station Fare Counts'!$A:$E,
    5,
    FALSE
  ),
  ""
)
</f>
        <v>142791</v>
      </c>
      <c r="L61" s="37">
        <f t="shared" si="2"/>
        <v>0.6207070189</v>
      </c>
      <c r="M61" s="38"/>
    </row>
    <row r="62" ht="22.5" customHeight="1">
      <c r="A62" s="30">
        <v>605.0</v>
      </c>
      <c r="B62" s="31">
        <f>IFERROR(
  VLOOKUP(
    A62,
    'Bus Ridership'!$A:$B,
    2,
    FALSE
  ),
  ""
)
</f>
        <v>720453</v>
      </c>
      <c r="C62" s="32">
        <f>B62*'Free Fare Day Adjustment'!$H$3</f>
        <v>664271.953</v>
      </c>
      <c r="D62" s="31">
        <f>IFERROR(
  VLOOKUP(
    A62,
    'Bus Fare Counts'!$A:$F,
    6,
    FALSE
  ),
  ""
)
</f>
        <v>383920</v>
      </c>
      <c r="E62" s="33">
        <f t="shared" si="1"/>
        <v>0.4220439411</v>
      </c>
      <c r="F62" s="42"/>
      <c r="G62" s="35" t="s">
        <v>137</v>
      </c>
      <c r="H62" s="31">
        <f>IFERROR(
  VLOOKUP(
    G62,
    'Rail Ridership'!$D:$E,
    2,
    FALSE
  ),
  ""
)
</f>
        <v>492460</v>
      </c>
      <c r="I62" s="32">
        <f>H62*'Free Fare Day Adjustment'!$H$4</f>
        <v>455616.7628</v>
      </c>
      <c r="J62" s="30" t="s">
        <v>138</v>
      </c>
      <c r="K62" s="36">
        <f>IFERROR(
  VLOOKUP(
    J62,
    'Station Fare Counts'!$A:$E,
    5,
    FALSE
  ),
  ""
)
</f>
        <v>172942</v>
      </c>
      <c r="L62" s="37">
        <f t="shared" si="2"/>
        <v>0.6204222186</v>
      </c>
      <c r="M62" s="38"/>
    </row>
    <row r="63" ht="22.5" customHeight="1">
      <c r="A63" s="30">
        <v>33.0</v>
      </c>
      <c r="B63" s="31">
        <f>IFERROR(
  VLOOKUP(
    A63,
    'Bus Ridership'!$A:$B,
    2,
    FALSE
  ),
  ""
)
</f>
        <v>5437771</v>
      </c>
      <c r="C63" s="32">
        <f>B63*'Free Fare Day Adjustment'!$H$3</f>
        <v>5013732.696</v>
      </c>
      <c r="D63" s="31">
        <f>IFERROR(
  VLOOKUP(
    A63,
    'Bus Fare Counts'!$A:$F,
    6,
    FALSE
  ),
  ""
)
</f>
        <v>2899059</v>
      </c>
      <c r="E63" s="33">
        <f t="shared" si="1"/>
        <v>0.421776314</v>
      </c>
      <c r="F63" s="42"/>
      <c r="G63" s="35" t="s">
        <v>139</v>
      </c>
      <c r="H63" s="31">
        <f>IFERROR(
  VLOOKUP(
    G63,
    'Rail Ridership'!$D:$E,
    2,
    FALSE
  ),
  ""
)
</f>
        <v>474364</v>
      </c>
      <c r="I63" s="32">
        <f>H63*'Free Fare Day Adjustment'!$H$4</f>
        <v>438874.6093</v>
      </c>
      <c r="J63" s="30" t="s">
        <v>140</v>
      </c>
      <c r="K63" s="36">
        <f>IFERROR(
  VLOOKUP(
    J63,
    'Station Fare Counts'!$A:$E,
    5,
    FALSE
  ),
  ""
)
</f>
        <v>166623</v>
      </c>
      <c r="L63" s="37">
        <f t="shared" si="2"/>
        <v>0.6203403057</v>
      </c>
      <c r="M63" s="38"/>
    </row>
    <row r="64" ht="22.5" customHeight="1">
      <c r="A64" s="30">
        <v>93.0</v>
      </c>
      <c r="B64" s="31">
        <f>IFERROR(
  VLOOKUP(
    A64,
    'Bus Ridership'!$A:$B,
    2,
    FALSE
  ),
  ""
)
</f>
        <v>1191501</v>
      </c>
      <c r="C64" s="32">
        <f>B64*'Free Fare Day Adjustment'!$H$3</f>
        <v>1098587.55</v>
      </c>
      <c r="D64" s="31">
        <f>IFERROR(
  VLOOKUP(
    A64,
    'Bus Fare Counts'!$A:$F,
    6,
    FALSE
  ),
  ""
)
</f>
        <v>637147</v>
      </c>
      <c r="E64" s="33">
        <f t="shared" si="1"/>
        <v>0.4200307477</v>
      </c>
      <c r="F64" s="42"/>
      <c r="G64" s="35" t="s">
        <v>141</v>
      </c>
      <c r="H64" s="31">
        <f>IFERROR(
  VLOOKUP(
    G64,
    'Rail Ridership'!$D:$E,
    2,
    FALSE
  ),
  ""
)
</f>
        <v>320761</v>
      </c>
      <c r="I64" s="32">
        <f>H64*'Free Fare Day Adjustment'!$H$4</f>
        <v>296763.3685</v>
      </c>
      <c r="J64" s="30" t="s">
        <v>142</v>
      </c>
      <c r="K64" s="36">
        <f>IFERROR(
  VLOOKUP(
    J64,
    'Station Fare Counts'!$A:$E,
    5,
    FALSE
  ),
  ""
)
</f>
        <v>113845</v>
      </c>
      <c r="L64" s="37">
        <f t="shared" si="2"/>
        <v>0.616377855</v>
      </c>
      <c r="M64" s="38"/>
    </row>
    <row r="65" ht="22.5" customHeight="1">
      <c r="A65" s="30">
        <v>150.0</v>
      </c>
      <c r="B65" s="31">
        <f>IFERROR(
  VLOOKUP(
    A65,
    'Bus Ridership'!$A:$B,
    2,
    FALSE
  ),
  ""
)
</f>
        <v>1017294</v>
      </c>
      <c r="C65" s="32">
        <f>B65*'Free Fare Day Adjustment'!$H$3</f>
        <v>937965.2415</v>
      </c>
      <c r="D65" s="31">
        <f>IFERROR(
  VLOOKUP(
    A65,
    'Bus Fare Counts'!$A:$F,
    6,
    FALSE
  ),
  ""
)
</f>
        <v>546770</v>
      </c>
      <c r="E65" s="33">
        <f t="shared" si="1"/>
        <v>0.4170679511</v>
      </c>
      <c r="F65" s="42"/>
      <c r="G65" s="35" t="s">
        <v>143</v>
      </c>
      <c r="H65" s="31">
        <f>IFERROR(
  VLOOKUP(
    G65,
    'Rail Ridership'!$D:$E,
    2,
    FALSE
  ),
  ""
)
</f>
        <v>123459</v>
      </c>
      <c r="I65" s="32">
        <f>H65*'Free Fare Day Adjustment'!$H$4</f>
        <v>114222.4545</v>
      </c>
      <c r="J65" s="30" t="s">
        <v>144</v>
      </c>
      <c r="K65" s="36">
        <f>IFERROR(
  VLOOKUP(
    J65,
    'Station Fare Counts'!$A:$E,
    5,
    FALSE
  ),
  ""
)
</f>
        <v>43849</v>
      </c>
      <c r="L65" s="37">
        <f t="shared" si="2"/>
        <v>0.6161087572</v>
      </c>
      <c r="M65" s="38"/>
    </row>
    <row r="66" ht="22.5" customHeight="1">
      <c r="A66" s="30">
        <v>128.0</v>
      </c>
      <c r="B66" s="31">
        <f>IFERROR(
  VLOOKUP(
    A66,
    'Bus Ridership'!$A:$B,
    2,
    FALSE
  ),
  ""
)
</f>
        <v>336058</v>
      </c>
      <c r="C66" s="32">
        <f>B66*'Free Fare Day Adjustment'!$H$3</f>
        <v>309852.1402</v>
      </c>
      <c r="D66" s="31">
        <f>IFERROR(
  VLOOKUP(
    A66,
    'Bus Fare Counts'!$A:$F,
    6,
    FALSE
  ),
  ""
)
</f>
        <v>181249</v>
      </c>
      <c r="E66" s="33">
        <f t="shared" si="1"/>
        <v>0.4150468031</v>
      </c>
      <c r="F66" s="42"/>
      <c r="G66" s="35" t="s">
        <v>145</v>
      </c>
      <c r="H66" s="31">
        <f>IFERROR(
  VLOOKUP(
    G66,
    'Rail Ridership'!$D:$E,
    2,
    FALSE
  ),
  ""
)
</f>
        <v>163913</v>
      </c>
      <c r="I66" s="32">
        <f>H66*'Free Fare Day Adjustment'!$H$4</f>
        <v>151649.9014</v>
      </c>
      <c r="J66" s="30" t="s">
        <v>146</v>
      </c>
      <c r="K66" s="36">
        <f>IFERROR(
  VLOOKUP(
    J66,
    'Station Fare Counts'!$A:$E,
    5,
    FALSE
  ),
  ""
)
</f>
        <v>60756</v>
      </c>
      <c r="L66" s="37">
        <f t="shared" si="2"/>
        <v>0.5993667029</v>
      </c>
      <c r="M66" s="38"/>
    </row>
    <row r="67" ht="22.5" customHeight="1">
      <c r="A67" s="30">
        <v>165.0</v>
      </c>
      <c r="B67" s="31">
        <f>IFERROR(
  VLOOKUP(
    A67,
    'Bus Ridership'!$A:$B,
    2,
    FALSE
  ),
  ""
)
</f>
        <v>2523872</v>
      </c>
      <c r="C67" s="32">
        <f>B67*'Free Fare Day Adjustment'!$H$3</f>
        <v>2327060.034</v>
      </c>
      <c r="D67" s="31">
        <f>IFERROR(
  VLOOKUP(
    A67,
    'Bus Fare Counts'!$A:$F,
    6,
    FALSE
  ),
  ""
)
</f>
        <v>1365758</v>
      </c>
      <c r="E67" s="33">
        <f t="shared" si="1"/>
        <v>0.4130972213</v>
      </c>
      <c r="F67" s="42"/>
      <c r="G67" s="35" t="s">
        <v>147</v>
      </c>
      <c r="H67" s="31">
        <f>IFERROR(
  VLOOKUP(
    G67,
    'Rail Ridership'!$D:$E,
    2,
    FALSE
  ),
  ""
)
</f>
        <v>145624</v>
      </c>
      <c r="I67" s="32">
        <f>H67*'Free Fare Day Adjustment'!$H$4</f>
        <v>134729.1871</v>
      </c>
      <c r="J67" s="30" t="s">
        <v>148</v>
      </c>
      <c r="K67" s="36">
        <f>IFERROR(
  VLOOKUP(
    J67,
    'Station Fare Counts'!$A:$E,
    5,
    FALSE
  ),
  ""
)
</f>
        <v>54508</v>
      </c>
      <c r="L67" s="37">
        <f t="shared" si="2"/>
        <v>0.5954254517</v>
      </c>
      <c r="M67" s="38"/>
    </row>
    <row r="68" ht="22.5" customHeight="1">
      <c r="A68" s="30">
        <v>167.0</v>
      </c>
      <c r="B68" s="31">
        <f>IFERROR(
  VLOOKUP(
    A68,
    'Bus Ridership'!$A:$B,
    2,
    FALSE
  ),
  ""
)
</f>
        <v>458347</v>
      </c>
      <c r="C68" s="32">
        <f>B68*'Free Fare Day Adjustment'!$H$3</f>
        <v>422605.0233</v>
      </c>
      <c r="D68" s="31">
        <f>IFERROR(
  VLOOKUP(
    A68,
    'Bus Fare Counts'!$A:$F,
    6,
    FALSE
  ),
  ""
)
</f>
        <v>249504</v>
      </c>
      <c r="E68" s="33">
        <f t="shared" si="1"/>
        <v>0.4096047461</v>
      </c>
      <c r="F68" s="42"/>
      <c r="G68" s="35" t="s">
        <v>149</v>
      </c>
      <c r="H68" s="31">
        <f>IFERROR(
  VLOOKUP(
    G68,
    'Rail Ridership'!$D:$E,
    2,
    FALSE
  ),
  ""
)
</f>
        <v>484512</v>
      </c>
      <c r="I68" s="32">
        <f>H68*'Free Fare Day Adjustment'!$H$4</f>
        <v>448263.3899</v>
      </c>
      <c r="J68" s="30" t="s">
        <v>150</v>
      </c>
      <c r="K68" s="36">
        <f>IFERROR(
  VLOOKUP(
    J68,
    'Station Fare Counts'!$A:$E,
    5,
    FALSE
  ),
  ""
)
</f>
        <v>183670</v>
      </c>
      <c r="L68" s="37">
        <f t="shared" si="2"/>
        <v>0.5902632155</v>
      </c>
      <c r="M68" s="38"/>
    </row>
    <row r="69" ht="22.5" customHeight="1">
      <c r="A69" s="30">
        <v>202.0</v>
      </c>
      <c r="B69" s="31">
        <f>IFERROR(
  VLOOKUP(
    A69,
    'Bus Ridership'!$A:$B,
    2,
    FALSE
  ),
  ""
)
</f>
        <v>62827</v>
      </c>
      <c r="C69" s="32">
        <f>B69*'Free Fare Day Adjustment'!$H$3</f>
        <v>57927.73989</v>
      </c>
      <c r="D69" s="31">
        <f>IFERROR(
  VLOOKUP(
    A69,
    'Bus Fare Counts'!$A:$F,
    6,
    FALSE
  ),
  ""
)
</f>
        <v>34280</v>
      </c>
      <c r="E69" s="33">
        <f t="shared" si="1"/>
        <v>0.4082282502</v>
      </c>
      <c r="F69" s="42"/>
      <c r="G69" s="35" t="s">
        <v>151</v>
      </c>
      <c r="H69" s="31">
        <f>IFERROR(
  VLOOKUP(
    G69,
    'Rail Ridership'!$D:$E,
    2,
    FALSE
  ),
  ""
)
</f>
        <v>246689</v>
      </c>
      <c r="I69" s="32">
        <f>H69*'Free Fare Day Adjustment'!$H$4</f>
        <v>228233.0415</v>
      </c>
      <c r="J69" s="30" t="s">
        <v>152</v>
      </c>
      <c r="K69" s="36">
        <f>IFERROR(
  VLOOKUP(
    J69,
    'Station Fare Counts'!$A:$E,
    5,
    FALSE
  ),
  ""
)
</f>
        <v>95399</v>
      </c>
      <c r="L69" s="37">
        <f t="shared" si="2"/>
        <v>0.5820105652</v>
      </c>
      <c r="M69" s="38"/>
    </row>
    <row r="70" ht="22.5" customHeight="1">
      <c r="A70" s="30">
        <v>30.0</v>
      </c>
      <c r="B70" s="31">
        <f>IFERROR(
  VLOOKUP(
    A70,
    'Bus Ridership'!$A:$B,
    2,
    FALSE
  ),
  ""
)
</f>
        <v>2660591</v>
      </c>
      <c r="C70" s="32">
        <f>B70*'Free Fare Day Adjustment'!$H$3</f>
        <v>2453117.663</v>
      </c>
      <c r="D70" s="31">
        <f>IFERROR(
  VLOOKUP(
    A70,
    'Bus Fare Counts'!$A:$F,
    6,
    FALSE
  ),
  ""
)
</f>
        <v>1457936</v>
      </c>
      <c r="E70" s="33">
        <f t="shared" si="1"/>
        <v>0.4056803626</v>
      </c>
      <c r="F70" s="42"/>
      <c r="G70" s="35" t="s">
        <v>153</v>
      </c>
      <c r="H70" s="31">
        <f>IFERROR(
  VLOOKUP(
    G70,
    'Rail Ridership'!$D:$E,
    2,
    FALSE
  ),
  ""
)
</f>
        <v>343192</v>
      </c>
      <c r="I70" s="32">
        <f>H70*'Free Fare Day Adjustment'!$H$4</f>
        <v>317516.2004</v>
      </c>
      <c r="J70" s="30" t="s">
        <v>154</v>
      </c>
      <c r="K70" s="36">
        <f>IFERROR(
  VLOOKUP(
    J70,
    'Station Fare Counts'!$A:$E,
    5,
    FALSE
  ),
  ""
)
</f>
        <v>133952</v>
      </c>
      <c r="L70" s="37">
        <f t="shared" si="2"/>
        <v>0.5781254632</v>
      </c>
      <c r="M70" s="38"/>
    </row>
    <row r="71" ht="22.5" customHeight="1">
      <c r="A71" s="30">
        <v>577.0</v>
      </c>
      <c r="B71" s="31">
        <f>IFERROR(
  VLOOKUP(
    A71,
    'Bus Ridership'!$A:$B,
    2,
    FALSE
  ),
  ""
)
</f>
        <v>234657</v>
      </c>
      <c r="C71" s="32">
        <f>B71*'Free Fare Day Adjustment'!$H$3</f>
        <v>216358.4074</v>
      </c>
      <c r="D71" s="31">
        <f>IFERROR(
  VLOOKUP(
    A71,
    'Bus Fare Counts'!$A:$F,
    6,
    FALSE
  ),
  ""
)
</f>
        <v>129034</v>
      </c>
      <c r="E71" s="33">
        <f t="shared" si="1"/>
        <v>0.4036099564</v>
      </c>
      <c r="F71" s="42"/>
      <c r="G71" s="35" t="s">
        <v>155</v>
      </c>
      <c r="H71" s="31">
        <f>IFERROR(
  VLOOKUP(
    G71,
    'Rail Ridership'!$D:$E,
    2,
    FALSE
  ),
  ""
)
</f>
        <v>93455</v>
      </c>
      <c r="I71" s="32">
        <f>H71*'Free Fare Day Adjustment'!$H$4</f>
        <v>86463.19411</v>
      </c>
      <c r="J71" s="30" t="s">
        <v>156</v>
      </c>
      <c r="K71" s="36">
        <f>IFERROR(
  VLOOKUP(
    J71,
    'Station Fare Counts'!$A:$E,
    5,
    FALSE
  ),
  ""
)
</f>
        <v>36556</v>
      </c>
      <c r="L71" s="37">
        <f t="shared" si="2"/>
        <v>0.5772073843</v>
      </c>
      <c r="M71" s="38"/>
    </row>
    <row r="72" ht="22.5" customHeight="1">
      <c r="A72" s="30">
        <v>205.0</v>
      </c>
      <c r="B72" s="31">
        <f>IFERROR(
  VLOOKUP(
    A72,
    'Bus Ridership'!$A:$B,
    2,
    FALSE
  ),
  ""
)
</f>
        <v>925864</v>
      </c>
      <c r="C72" s="32">
        <f>B72*'Free Fare Day Adjustment'!$H$3</f>
        <v>853664.9684</v>
      </c>
      <c r="D72" s="31">
        <f>IFERROR(
  VLOOKUP(
    A72,
    'Bus Fare Counts'!$A:$F,
    6,
    FALSE
  ),
  ""
)
</f>
        <v>511147</v>
      </c>
      <c r="E72" s="33">
        <f t="shared" si="1"/>
        <v>0.4012323114</v>
      </c>
      <c r="F72" s="42"/>
      <c r="G72" s="35" t="s">
        <v>157</v>
      </c>
      <c r="H72" s="31">
        <f>IFERROR(
  VLOOKUP(
    G72,
    'Rail Ridership'!$D:$E,
    2,
    FALSE
  ),
  ""
)
</f>
        <v>100563</v>
      </c>
      <c r="I72" s="32">
        <f>H72*'Free Fare Day Adjustment'!$H$4</f>
        <v>93039.41136</v>
      </c>
      <c r="J72" s="30" t="s">
        <v>158</v>
      </c>
      <c r="K72" s="36">
        <f>IFERROR(
  VLOOKUP(
    J72,
    'Station Fare Counts'!$A:$E,
    5,
    FALSE
  ),
  ""
)
</f>
        <v>40479</v>
      </c>
      <c r="L72" s="37">
        <f t="shared" si="2"/>
        <v>0.5649263102</v>
      </c>
      <c r="M72" s="38"/>
    </row>
    <row r="73" ht="22.5" customHeight="1">
      <c r="A73" s="30">
        <v>246.0</v>
      </c>
      <c r="B73" s="31">
        <f>IFERROR(
  VLOOKUP(
    A73,
    'Bus Ridership'!$A:$B,
    2,
    FALSE
  ),
  ""
)
</f>
        <v>1045126</v>
      </c>
      <c r="C73" s="32">
        <f>B73*'Free Fare Day Adjustment'!$H$3</f>
        <v>963626.8974</v>
      </c>
      <c r="D73" s="31">
        <f>IFERROR(
  VLOOKUP(
    A73,
    'Bus Fare Counts'!$A:$F,
    6,
    FALSE
  ),
  ""
)
</f>
        <v>582460</v>
      </c>
      <c r="E73" s="33">
        <f t="shared" si="1"/>
        <v>0.3955544396</v>
      </c>
      <c r="F73" s="42"/>
      <c r="G73" s="35" t="s">
        <v>159</v>
      </c>
      <c r="H73" s="31">
        <f>IFERROR(
  VLOOKUP(
    G73,
    'Rail Ridership'!$D:$E,
    2,
    FALSE
  ),
  ""
)
</f>
        <v>307510</v>
      </c>
      <c r="I73" s="32">
        <f>H73*'Free Fare Day Adjustment'!$H$4</f>
        <v>284503.7378</v>
      </c>
      <c r="J73" s="30" t="s">
        <v>160</v>
      </c>
      <c r="K73" s="36">
        <f>IFERROR(
  VLOOKUP(
    J73,
    'Station Fare Counts'!$A:$E,
    5,
    FALSE
  ),
  ""
)
</f>
        <v>125151</v>
      </c>
      <c r="L73" s="37">
        <f t="shared" si="2"/>
        <v>0.5601077126</v>
      </c>
      <c r="M73" s="38"/>
    </row>
    <row r="74" ht="22.5" customHeight="1">
      <c r="A74" s="30">
        <v>102.0</v>
      </c>
      <c r="B74" s="31">
        <f>IFERROR(
  VLOOKUP(
    A74,
    'Bus Ridership'!$A:$B,
    2,
    FALSE
  ),
  ""
)
</f>
        <v>490248</v>
      </c>
      <c r="C74" s="32">
        <f>B74*'Free Fare Day Adjustment'!$H$3</f>
        <v>452018.3779</v>
      </c>
      <c r="D74" s="31">
        <f>IFERROR(
  VLOOKUP(
    A74,
    'Bus Fare Counts'!$A:$F,
    6,
    FALSE
  ),
  ""
)
</f>
        <v>273465</v>
      </c>
      <c r="E74" s="33">
        <f t="shared" si="1"/>
        <v>0.3950135362</v>
      </c>
      <c r="F74" s="42"/>
      <c r="G74" s="35" t="s">
        <v>161</v>
      </c>
      <c r="H74" s="31">
        <f>IFERROR(
  VLOOKUP(
    G74,
    'Rail Ridership'!$D:$E,
    2,
    FALSE
  ),
  ""
)
</f>
        <v>655116</v>
      </c>
      <c r="I74" s="32">
        <f>H74*'Free Fare Day Adjustment'!$H$4</f>
        <v>606103.7063</v>
      </c>
      <c r="J74" s="30" t="s">
        <v>162</v>
      </c>
      <c r="K74" s="36">
        <f>IFERROR(
  VLOOKUP(
    J74,
    'Station Fare Counts'!$A:$E,
    5,
    FALSE
  ),
  ""
)
</f>
        <v>267559</v>
      </c>
      <c r="L74" s="37">
        <f t="shared" si="2"/>
        <v>0.5585590432</v>
      </c>
      <c r="M74" s="38"/>
    </row>
    <row r="75" ht="22.5" customHeight="1">
      <c r="A75" s="30">
        <v>134.0</v>
      </c>
      <c r="B75" s="31">
        <f>IFERROR(
  VLOOKUP(
    A75,
    'Bus Ridership'!$A:$B,
    2,
    FALSE
  ),
  ""
)
</f>
        <v>233582</v>
      </c>
      <c r="C75" s="32">
        <f>B75*'Free Fare Day Adjustment'!$H$3</f>
        <v>215367.2361</v>
      </c>
      <c r="D75" s="31">
        <f>IFERROR(
  VLOOKUP(
    A75,
    'Bus Fare Counts'!$A:$F,
    6,
    FALSE
  ),
  ""
)
</f>
        <v>130413</v>
      </c>
      <c r="E75" s="33">
        <f t="shared" si="1"/>
        <v>0.3944622108</v>
      </c>
      <c r="F75" s="42"/>
      <c r="G75" s="35" t="s">
        <v>163</v>
      </c>
      <c r="H75" s="31">
        <f>IFERROR(
  VLOOKUP(
    G75,
    'Rail Ridership'!$D:$E,
    2,
    FALSE
  ),
  ""
)
</f>
        <v>299633</v>
      </c>
      <c r="I75" s="32">
        <f>H75*'Free Fare Day Adjustment'!$H$4</f>
        <v>277216.0531</v>
      </c>
      <c r="J75" s="30" t="s">
        <v>164</v>
      </c>
      <c r="K75" s="36">
        <f>IFERROR(
  VLOOKUP(
    J75,
    'Station Fare Counts'!$A:$E,
    5,
    FALSE
  ),
  ""
)
</f>
        <v>122557</v>
      </c>
      <c r="L75" s="37">
        <f t="shared" si="2"/>
        <v>0.557900783</v>
      </c>
      <c r="M75" s="38"/>
    </row>
    <row r="76" ht="22.5" customHeight="1">
      <c r="A76" s="30">
        <v>296.0</v>
      </c>
      <c r="B76" s="31">
        <f>IFERROR(
  VLOOKUP(
    A76,
    'Bus Ridership'!$A:$B,
    2,
    FALSE
  ),
  ""
)
</f>
        <v>210390</v>
      </c>
      <c r="C76" s="32">
        <f>B76*'Free Fare Day Adjustment'!$H$3</f>
        <v>193983.7521</v>
      </c>
      <c r="D76" s="31">
        <f>IFERROR(
  VLOOKUP(
    A76,
    'Bus Fare Counts'!$A:$F,
    6,
    FALSE
  ),
  ""
)
</f>
        <v>117851</v>
      </c>
      <c r="E76" s="33">
        <f t="shared" si="1"/>
        <v>0.3924697368</v>
      </c>
      <c r="F76" s="42"/>
      <c r="G76" s="35" t="s">
        <v>165</v>
      </c>
      <c r="H76" s="31">
        <f>IFERROR(
  VLOOKUP(
    G76,
    'Rail Ridership'!$D:$E,
    2,
    FALSE
  ),
  ""
)
</f>
        <v>468045</v>
      </c>
      <c r="I76" s="32">
        <f>H76*'Free Fare Day Adjustment'!$H$4</f>
        <v>433028.3632</v>
      </c>
      <c r="J76" s="30" t="s">
        <v>166</v>
      </c>
      <c r="K76" s="36">
        <f>IFERROR(
  VLOOKUP(
    J76,
    'Station Fare Counts'!$A:$E,
    5,
    FALSE
  ),
  ""
)
</f>
        <v>192910</v>
      </c>
      <c r="L76" s="37">
        <f t="shared" si="2"/>
        <v>0.5545095509</v>
      </c>
      <c r="M76" s="38"/>
    </row>
    <row r="77" ht="22.5" customHeight="1">
      <c r="A77" s="30">
        <v>164.0</v>
      </c>
      <c r="B77" s="31">
        <f>IFERROR(
  VLOOKUP(
    A77,
    'Bus Ridership'!$A:$B,
    2,
    FALSE
  ),
  ""
)
</f>
        <v>1961045</v>
      </c>
      <c r="C77" s="32">
        <f>B77*'Free Fare Day Adjustment'!$H$3</f>
        <v>1808122.379</v>
      </c>
      <c r="D77" s="31">
        <f>IFERROR(
  VLOOKUP(
    A77,
    'Bus Fare Counts'!$A:$F,
    6,
    FALSE
  ),
  ""
)
</f>
        <v>1110092</v>
      </c>
      <c r="E77" s="33">
        <f t="shared" si="1"/>
        <v>0.3860526184</v>
      </c>
      <c r="F77" s="42"/>
      <c r="G77" s="35" t="s">
        <v>167</v>
      </c>
      <c r="H77" s="31">
        <f>IFERROR(
  VLOOKUP(
    G77,
    'Rail Ridership'!$D:$E,
    2,
    FALSE
  ),
  ""
)
</f>
        <v>496577</v>
      </c>
      <c r="I77" s="32">
        <f>H77*'Free Fare Day Adjustment'!$H$4</f>
        <v>459425.7508</v>
      </c>
      <c r="J77" s="30" t="s">
        <v>168</v>
      </c>
      <c r="K77" s="36">
        <f>IFERROR(
  VLOOKUP(
    J77,
    'Station Fare Counts'!$A:$E,
    5,
    FALSE
  ),
  ""
)
</f>
        <v>207762</v>
      </c>
      <c r="L77" s="37">
        <f t="shared" si="2"/>
        <v>0.54777894</v>
      </c>
      <c r="M77" s="38"/>
    </row>
    <row r="78" ht="22.5" customHeight="1">
      <c r="A78" s="30">
        <v>611.0</v>
      </c>
      <c r="B78" s="31">
        <f>IFERROR(
  VLOOKUP(
    A78,
    'Bus Ridership'!$A:$B,
    2,
    FALSE
  ),
  ""
)
</f>
        <v>409372</v>
      </c>
      <c r="C78" s="32">
        <f>B78*'Free Fare Day Adjustment'!$H$3</f>
        <v>377449.1021</v>
      </c>
      <c r="D78" s="31">
        <f>IFERROR(
  VLOOKUP(
    A78,
    'Bus Fare Counts'!$A:$F,
    6,
    FALSE
  ),
  ""
)
</f>
        <v>232235</v>
      </c>
      <c r="E78" s="33">
        <f t="shared" si="1"/>
        <v>0.3847249901</v>
      </c>
      <c r="F78" s="42"/>
      <c r="G78" s="35" t="s">
        <v>169</v>
      </c>
      <c r="H78" s="31">
        <f>IFERROR(
  VLOOKUP(
    G78,
    'Rail Ridership'!$D:$E,
    2,
    FALSE
  ),
  ""
)
</f>
        <v>383654</v>
      </c>
      <c r="I78" s="32">
        <f>H78*'Free Fare Day Adjustment'!$H$4</f>
        <v>354951.0489</v>
      </c>
      <c r="J78" s="30" t="s">
        <v>170</v>
      </c>
      <c r="K78" s="36">
        <f>IFERROR(
  VLOOKUP(
    J78,
    'Station Fare Counts'!$A:$E,
    5,
    FALSE
  ),
  ""
)
</f>
        <v>161234</v>
      </c>
      <c r="L78" s="37">
        <f t="shared" si="2"/>
        <v>0.5457570825</v>
      </c>
      <c r="M78" s="38"/>
    </row>
    <row r="79" ht="22.5" customHeight="1">
      <c r="A79" s="30">
        <v>120.0</v>
      </c>
      <c r="B79" s="31">
        <f>IFERROR(
  VLOOKUP(
    A79,
    'Bus Ridership'!$A:$B,
    2,
    FALSE
  ),
  ""
)
</f>
        <v>925704</v>
      </c>
      <c r="C79" s="32">
        <f>B79*'Free Fare Day Adjustment'!$H$3</f>
        <v>853517.4452</v>
      </c>
      <c r="D79" s="31">
        <f>IFERROR(
  VLOOKUP(
    A79,
    'Bus Fare Counts'!$A:$F,
    6,
    FALSE
  ),
  ""
)
</f>
        <v>526046</v>
      </c>
      <c r="E79" s="33">
        <f t="shared" si="1"/>
        <v>0.3836728201</v>
      </c>
      <c r="F79" s="42"/>
      <c r="G79" s="35" t="s">
        <v>171</v>
      </c>
      <c r="H79" s="31">
        <f>IFERROR(
  VLOOKUP(
    G79,
    'Rail Ridership'!$D:$E,
    2,
    FALSE
  ),
  ""
)
</f>
        <v>469733</v>
      </c>
      <c r="I79" s="32">
        <f>H79*'Free Fare Day Adjustment'!$H$4</f>
        <v>434590.076</v>
      </c>
      <c r="J79" s="30" t="s">
        <v>172</v>
      </c>
      <c r="K79" s="36">
        <f>IFERROR(
  VLOOKUP(
    J79,
    'Station Fare Counts'!$A:$E,
    5,
    FALSE
  ),
  ""
)
</f>
        <v>201304</v>
      </c>
      <c r="L79" s="37">
        <f t="shared" si="2"/>
        <v>0.5367956815</v>
      </c>
      <c r="M79" s="38"/>
    </row>
    <row r="80" ht="22.5" customHeight="1">
      <c r="A80" s="30">
        <v>617.0</v>
      </c>
      <c r="B80" s="31">
        <f>IFERROR(
  VLOOKUP(
    A80,
    'Bus Ridership'!$A:$B,
    2,
    FALSE
  ),
  ""
)
</f>
        <v>200416</v>
      </c>
      <c r="C80" s="32">
        <f>B80*'Free Fare Day Adjustment'!$H$3</f>
        <v>184787.5264</v>
      </c>
      <c r="D80" s="31">
        <f>IFERROR(
  VLOOKUP(
    A80,
    'Bus Fare Counts'!$A:$F,
    6,
    FALSE
  ),
  ""
)
</f>
        <v>113949</v>
      </c>
      <c r="E80" s="33">
        <f t="shared" si="1"/>
        <v>0.3833512346</v>
      </c>
      <c r="F80" s="42"/>
      <c r="G80" s="35" t="s">
        <v>173</v>
      </c>
      <c r="H80" s="31">
        <f>IFERROR(
  VLOOKUP(
    G80,
    'Rail Ridership'!$D:$E,
    2,
    FALSE
  ),
  ""
)
</f>
        <v>192733</v>
      </c>
      <c r="I80" s="32">
        <f>H80*'Free Fare Day Adjustment'!$H$4</f>
        <v>178313.7423</v>
      </c>
      <c r="J80" s="30" t="s">
        <v>174</v>
      </c>
      <c r="K80" s="36">
        <f>IFERROR(
  VLOOKUP(
    J80,
    'Station Fare Counts'!$A:$E,
    5,
    FALSE
  ),
  ""
)
</f>
        <v>82606</v>
      </c>
      <c r="L80" s="37">
        <f t="shared" si="2"/>
        <v>0.5367378929</v>
      </c>
      <c r="M80" s="38"/>
    </row>
    <row r="81" ht="22.5" customHeight="1">
      <c r="A81" s="30">
        <v>62.0</v>
      </c>
      <c r="B81" s="31">
        <f>IFERROR(
  VLOOKUP(
    A81,
    'Bus Ridership'!$A:$B,
    2,
    FALSE
  ),
  ""
)
</f>
        <v>989796</v>
      </c>
      <c r="C81" s="32">
        <f>B81*'Free Fare Day Adjustment'!$H$3</f>
        <v>912611.5402</v>
      </c>
      <c r="D81" s="31">
        <f>IFERROR(
  VLOOKUP(
    A81,
    'Bus Fare Counts'!$A:$F,
    6,
    FALSE
  ),
  ""
)
</f>
        <v>563626</v>
      </c>
      <c r="E81" s="33">
        <f t="shared" si="1"/>
        <v>0.3824031637</v>
      </c>
      <c r="F81" s="42"/>
      <c r="G81" s="35" t="s">
        <v>175</v>
      </c>
      <c r="H81" s="31">
        <f>IFERROR(
  VLOOKUP(
    G81,
    'Rail Ridership'!$D:$E,
    2,
    FALSE
  ),
  ""
)
</f>
        <v>97145</v>
      </c>
      <c r="I81" s="32">
        <f>H81*'Free Fare Day Adjustment'!$H$4</f>
        <v>89877.12794</v>
      </c>
      <c r="J81" s="30" t="s">
        <v>176</v>
      </c>
      <c r="K81" s="36">
        <f>IFERROR(
  VLOOKUP(
    J81,
    'Station Fare Counts'!$A:$E,
    5,
    FALSE
  ),
  ""
)
</f>
        <v>41982</v>
      </c>
      <c r="L81" s="37">
        <f t="shared" si="2"/>
        <v>0.5328956214</v>
      </c>
      <c r="M81" s="38"/>
    </row>
    <row r="82" ht="22.5" customHeight="1">
      <c r="A82" s="30">
        <v>232.0</v>
      </c>
      <c r="B82" s="31">
        <f>IFERROR(
  VLOOKUP(
    A82,
    'Bus Ridership'!$A:$B,
    2,
    FALSE
  ),
  ""
)
</f>
        <v>1472605</v>
      </c>
      <c r="C82" s="32">
        <f>B82*'Free Fare Day Adjustment'!$H$3</f>
        <v>1357771.013</v>
      </c>
      <c r="D82" s="31">
        <f>IFERROR(
  VLOOKUP(
    A82,
    'Bus Fare Counts'!$A:$F,
    6,
    FALSE
  ),
  ""
)
</f>
        <v>838740</v>
      </c>
      <c r="E82" s="33">
        <f t="shared" si="1"/>
        <v>0.3822669712</v>
      </c>
      <c r="F82" s="42"/>
      <c r="G82" s="35" t="s">
        <v>177</v>
      </c>
      <c r="H82" s="31">
        <f>IFERROR(
  VLOOKUP(
    G82,
    'Rail Ridership'!$D:$E,
    2,
    FALSE
  ),
  ""
)
</f>
        <v>577178</v>
      </c>
      <c r="I82" s="32">
        <f>H82*'Free Fare Day Adjustment'!$H$4</f>
        <v>533996.6128</v>
      </c>
      <c r="J82" s="30" t="s">
        <v>178</v>
      </c>
      <c r="K82" s="36">
        <f>IFERROR(
  VLOOKUP(
    J82,
    'Station Fare Counts'!$A:$E,
    5,
    FALSE
  ),
  ""
)
</f>
        <v>251516</v>
      </c>
      <c r="L82" s="37">
        <f t="shared" si="2"/>
        <v>0.528993267</v>
      </c>
      <c r="M82" s="38"/>
    </row>
    <row r="83" ht="22.5" customHeight="1">
      <c r="A83" s="30">
        <v>251.0</v>
      </c>
      <c r="B83" s="31">
        <f>IFERROR(
  VLOOKUP(
    A83,
    'Bus Ridership'!$A:$B,
    2,
    FALSE
  ),
  ""
)
</f>
        <v>4330346</v>
      </c>
      <c r="C83" s="32">
        <f>B83*'Free Fare Day Adjustment'!$H$3</f>
        <v>3992664.885</v>
      </c>
      <c r="D83" s="31">
        <f>IFERROR(
  VLOOKUP(
    A83,
    'Bus Fare Counts'!$A:$F,
    6,
    FALSE
  ),
  ""
)
</f>
        <v>2467505</v>
      </c>
      <c r="E83" s="33">
        <f t="shared" si="1"/>
        <v>0.3819904573</v>
      </c>
      <c r="F83" s="42"/>
      <c r="G83" s="35" t="s">
        <v>179</v>
      </c>
      <c r="H83" s="31">
        <f>IFERROR(
  VLOOKUP(
    G83,
    'Rail Ridership'!$D:$E,
    2,
    FALSE
  ),
  ""
)
</f>
        <v>677683</v>
      </c>
      <c r="I83" s="32">
        <f>H83*'Free Fare Day Adjustment'!$H$4</f>
        <v>626982.3634</v>
      </c>
      <c r="J83" s="30" t="s">
        <v>180</v>
      </c>
      <c r="K83" s="36">
        <f>IFERROR(
  VLOOKUP(
    J83,
    'Station Fare Counts'!$A:$E,
    5,
    FALSE
  ),
  ""
)
</f>
        <v>295958</v>
      </c>
      <c r="L83" s="37">
        <f t="shared" si="2"/>
        <v>0.5279643938</v>
      </c>
      <c r="M83" s="38"/>
    </row>
    <row r="84" ht="22.5" customHeight="1">
      <c r="A84" s="30">
        <v>182.0</v>
      </c>
      <c r="B84" s="31">
        <f>IFERROR(
  VLOOKUP(
    A84,
    'Bus Ridership'!$A:$B,
    2,
    FALSE
  ),
  ""
)
</f>
        <v>920973</v>
      </c>
      <c r="C84" s="32">
        <f>B84*'Free Fare Day Adjustment'!$H$3</f>
        <v>849155.3694</v>
      </c>
      <c r="D84" s="31">
        <f>IFERROR(
  VLOOKUP(
    A84,
    'Bus Fare Counts'!$A:$F,
    6,
    FALSE
  ),
  ""
)
</f>
        <v>527235</v>
      </c>
      <c r="E84" s="33">
        <f t="shared" si="1"/>
        <v>0.3791065581</v>
      </c>
      <c r="F84" s="42"/>
      <c r="G84" s="35" t="s">
        <v>181</v>
      </c>
      <c r="H84" s="31">
        <f>IFERROR(
  VLOOKUP(
    G84,
    'Rail Ridership'!$D:$E,
    2,
    FALSE
  ),
  ""
)
</f>
        <v>557665</v>
      </c>
      <c r="I84" s="32">
        <f>H84*'Free Fare Day Adjustment'!$H$4</f>
        <v>515943.4716</v>
      </c>
      <c r="J84" s="30" t="s">
        <v>182</v>
      </c>
      <c r="K84" s="36">
        <f>IFERROR(
  VLOOKUP(
    J84,
    'Station Fare Counts'!$A:$E,
    5,
    FALSE
  ),
  ""
)
</f>
        <v>244284</v>
      </c>
      <c r="L84" s="37">
        <f t="shared" si="2"/>
        <v>0.5265295261</v>
      </c>
      <c r="M84" s="38"/>
    </row>
    <row r="85" ht="22.5" customHeight="1">
      <c r="A85" s="30">
        <v>236.0</v>
      </c>
      <c r="B85" s="31">
        <f>IFERROR(
  VLOOKUP(
    A85,
    'Bus Ridership'!$A:$B,
    2,
    FALSE
  ),
  ""
)
</f>
        <v>570520</v>
      </c>
      <c r="C85" s="32">
        <f>B85*'Free Fare Day Adjustment'!$H$3</f>
        <v>526030.7537</v>
      </c>
      <c r="D85" s="31">
        <f>IFERROR(
  VLOOKUP(
    A85,
    'Bus Fare Counts'!$A:$F,
    6,
    FALSE
  ),
  ""
)
</f>
        <v>328398</v>
      </c>
      <c r="E85" s="33">
        <f t="shared" si="1"/>
        <v>0.3757057022</v>
      </c>
      <c r="F85" s="42"/>
      <c r="G85" s="35" t="s">
        <v>183</v>
      </c>
      <c r="H85" s="31">
        <f>IFERROR(
  VLOOKUP(
    G85,
    'Rail Ridership'!$D:$E,
    2,
    FALSE
  ),
  ""
)
</f>
        <v>104182</v>
      </c>
      <c r="I85" s="32">
        <f>H85*'Free Fare Day Adjustment'!$H$4</f>
        <v>96387.65704</v>
      </c>
      <c r="J85" s="30" t="s">
        <v>184</v>
      </c>
      <c r="K85" s="36">
        <f>IFERROR(
  VLOOKUP(
    J85,
    'Station Fare Counts'!$A:$E,
    5,
    FALSE
  ),
  ""
)
</f>
        <v>46016</v>
      </c>
      <c r="L85" s="37">
        <f t="shared" si="2"/>
        <v>0.5225944751</v>
      </c>
      <c r="M85" s="38"/>
    </row>
    <row r="86" ht="22.5" customHeight="1">
      <c r="A86" s="30">
        <v>550.0</v>
      </c>
      <c r="B86" s="31">
        <f>IFERROR(
  VLOOKUP(
    A86,
    'Bus Ridership'!$A:$B,
    2,
    FALSE
  ),
  ""
)
</f>
        <v>112451</v>
      </c>
      <c r="C86" s="32">
        <f>B86*'Free Fare Day Adjustment'!$H$3</f>
        <v>103682.052</v>
      </c>
      <c r="D86" s="31">
        <f>IFERROR(
  VLOOKUP(
    A86,
    'Bus Fare Counts'!$A:$F,
    6,
    FALSE
  ),
  ""
)
</f>
        <v>64939</v>
      </c>
      <c r="E86" s="33">
        <f t="shared" si="1"/>
        <v>0.3736717323</v>
      </c>
      <c r="F86" s="42"/>
      <c r="G86" s="35" t="s">
        <v>185</v>
      </c>
      <c r="H86" s="31">
        <f>IFERROR(
  VLOOKUP(
    G86,
    'Rail Ridership'!$D:$E,
    2,
    FALSE
  ),
  ""
)
</f>
        <v>1158328</v>
      </c>
      <c r="I86" s="32">
        <f>H86*'Free Fare Day Adjustment'!$H$4</f>
        <v>1071668.062</v>
      </c>
      <c r="J86" s="30" t="s">
        <v>186</v>
      </c>
      <c r="K86" s="36">
        <f>IFERROR(
  VLOOKUP(
    J86,
    'Station Fare Counts'!$A:$E,
    5,
    FALSE
  ),
  ""
)
</f>
        <v>530807</v>
      </c>
      <c r="L86" s="37">
        <f t="shared" si="2"/>
        <v>0.5046908469</v>
      </c>
      <c r="M86" s="38"/>
    </row>
    <row r="87" ht="22.5" customHeight="1">
      <c r="A87" s="30">
        <v>266.0</v>
      </c>
      <c r="B87" s="31">
        <f>IFERROR(
  VLOOKUP(
    A87,
    'Bus Ridership'!$A:$B,
    2,
    FALSE
  ),
  ""
)
</f>
        <v>1777446</v>
      </c>
      <c r="C87" s="32">
        <f>B87*'Free Fare Day Adjustment'!$H$3</f>
        <v>1638840.46</v>
      </c>
      <c r="D87" s="31">
        <f>IFERROR(
  VLOOKUP(
    A87,
    'Bus Fare Counts'!$A:$F,
    6,
    FALSE
  ),
  ""
)
</f>
        <v>1046953</v>
      </c>
      <c r="E87" s="33">
        <f t="shared" si="1"/>
        <v>0.3611623427</v>
      </c>
      <c r="F87" s="42"/>
      <c r="G87" s="35" t="s">
        <v>187</v>
      </c>
      <c r="H87" s="31">
        <f>IFERROR(
  VLOOKUP(
    G87,
    'Rail Ridership'!$D:$E,
    2,
    FALSE
  ),
  ""
)
</f>
        <v>478299</v>
      </c>
      <c r="I87" s="32">
        <f>H87*'Free Fare Day Adjustment'!$H$4</f>
        <v>442515.2135</v>
      </c>
      <c r="J87" s="30" t="s">
        <v>188</v>
      </c>
      <c r="K87" s="36">
        <f>IFERROR(
  VLOOKUP(
    J87,
    'Station Fare Counts'!$A:$E,
    5,
    FALSE
  ),
  ""
)
</f>
        <v>223934</v>
      </c>
      <c r="L87" s="37">
        <f t="shared" si="2"/>
        <v>0.4939518616</v>
      </c>
      <c r="M87" s="38"/>
    </row>
    <row r="88" ht="22.5" customHeight="1">
      <c r="A88" s="30">
        <v>237.0</v>
      </c>
      <c r="B88" s="31">
        <f>IFERROR(
  VLOOKUP(
    A88,
    'Bus Ridership'!$A:$B,
    2,
    FALSE
  ),
  ""
)
</f>
        <v>581197</v>
      </c>
      <c r="C88" s="32">
        <f>B88*'Free Fare Day Adjustment'!$H$3</f>
        <v>535875.1595</v>
      </c>
      <c r="D88" s="31">
        <f>IFERROR(
  VLOOKUP(
    A88,
    'Bus Fare Counts'!$A:$F,
    6,
    FALSE
  ),
  ""
)
</f>
        <v>346224</v>
      </c>
      <c r="E88" s="33">
        <f t="shared" si="1"/>
        <v>0.3539092195</v>
      </c>
      <c r="F88" s="42"/>
      <c r="G88" s="35" t="s">
        <v>189</v>
      </c>
      <c r="H88" s="31">
        <f>IFERROR(
  VLOOKUP(
    G88,
    'Rail Ridership'!$D:$E,
    2,
    FALSE
  ),
  ""
)
</f>
        <v>641281</v>
      </c>
      <c r="I88" s="32">
        <f>H88*'Free Fare Day Adjustment'!$H$4</f>
        <v>593303.7674</v>
      </c>
      <c r="J88" s="30" t="s">
        <v>190</v>
      </c>
      <c r="K88" s="36">
        <f>IFERROR(
  VLOOKUP(
    J88,
    'Station Fare Counts'!$A:$E,
    5,
    FALSE
  ),
  ""
)
</f>
        <v>303525</v>
      </c>
      <c r="L88" s="37">
        <f t="shared" si="2"/>
        <v>0.4884155188</v>
      </c>
      <c r="M88" s="38"/>
    </row>
    <row r="89" ht="22.5" customHeight="1">
      <c r="A89" s="30">
        <v>169.0</v>
      </c>
      <c r="B89" s="31">
        <f>IFERROR(
  VLOOKUP(
    A89,
    'Bus Ridership'!$A:$B,
    2,
    FALSE
  ),
  ""
)
</f>
        <v>641953</v>
      </c>
      <c r="C89" s="32">
        <f>B89*'Free Fare Day Adjustment'!$H$3</f>
        <v>591893.3963</v>
      </c>
      <c r="D89" s="31">
        <f>IFERROR(
  VLOOKUP(
    A89,
    'Bus Fare Counts'!$A:$F,
    6,
    FALSE
  ),
  ""
)
</f>
        <v>384349</v>
      </c>
      <c r="E89" s="33">
        <f t="shared" si="1"/>
        <v>0.3506448925</v>
      </c>
      <c r="F89" s="42"/>
      <c r="G89" s="35" t="s">
        <v>191</v>
      </c>
      <c r="H89" s="31">
        <f>IFERROR(
  VLOOKUP(
    G89,
    'Rail Ridership'!$D:$E,
    2,
    FALSE
  ),
  ""
)
</f>
        <v>534150</v>
      </c>
      <c r="I89" s="32">
        <f>H89*'Free Fare Day Adjustment'!$H$4</f>
        <v>494187.7388</v>
      </c>
      <c r="J89" s="30" t="s">
        <v>192</v>
      </c>
      <c r="K89" s="36">
        <f>IFERROR(
  VLOOKUP(
    J89,
    'Station Fare Counts'!$A:$E,
    5,
    FALSE
  ),
  ""
)
</f>
        <v>254027</v>
      </c>
      <c r="L89" s="37">
        <f t="shared" si="2"/>
        <v>0.4859706544</v>
      </c>
      <c r="M89" s="38"/>
    </row>
    <row r="90" ht="22.5" customHeight="1">
      <c r="A90" s="30">
        <v>487.0</v>
      </c>
      <c r="B90" s="31">
        <f>IFERROR(
  VLOOKUP(
    A90,
    'Bus Ridership'!$A:$B,
    2,
    FALSE
  ),
  ""
)
</f>
        <v>408291</v>
      </c>
      <c r="C90" s="32">
        <f>B90*'Free Fare Day Adjustment'!$H$3</f>
        <v>376452.3986</v>
      </c>
      <c r="D90" s="31">
        <f>IFERROR(
  VLOOKUP(
    A90,
    'Bus Fare Counts'!$A:$F,
    6,
    FALSE
  ),
  ""
)
</f>
        <v>244457</v>
      </c>
      <c r="E90" s="33">
        <f t="shared" si="1"/>
        <v>0.3506297187</v>
      </c>
      <c r="F90" s="42"/>
      <c r="G90" s="35" t="s">
        <v>193</v>
      </c>
      <c r="H90" s="31">
        <f>IFERROR(
  VLOOKUP(
    G90,
    'Rail Ridership'!$D:$E,
    2,
    FALSE
  ),
  ""
)
</f>
        <v>341408</v>
      </c>
      <c r="I90" s="32">
        <f>H90*'Free Fare Day Adjustment'!$H$4</f>
        <v>315865.6698</v>
      </c>
      <c r="J90" s="30" t="s">
        <v>194</v>
      </c>
      <c r="K90" s="36">
        <f>IFERROR(
  VLOOKUP(
    J90,
    'Station Fare Counts'!$A:$E,
    5,
    FALSE
  ),
  ""
)
</f>
        <v>162809</v>
      </c>
      <c r="L90" s="37">
        <f t="shared" si="2"/>
        <v>0.4845625354</v>
      </c>
      <c r="M90" s="38"/>
    </row>
    <row r="91" ht="22.5" customHeight="1">
      <c r="A91" s="30">
        <v>660.0</v>
      </c>
      <c r="B91" s="31">
        <f>IFERROR(
  VLOOKUP(
    A91,
    'Bus Ridership'!$A:$B,
    2,
    FALSE
  ),
  ""
)
</f>
        <v>201053</v>
      </c>
      <c r="C91" s="32">
        <f>B91*'Free Fare Day Adjustment'!$H$3</f>
        <v>185374.853</v>
      </c>
      <c r="D91" s="31">
        <f>IFERROR(
  VLOOKUP(
    A91,
    'Bus Fare Counts'!$A:$F,
    6,
    FALSE
  ),
  ""
)
</f>
        <v>120799</v>
      </c>
      <c r="E91" s="33">
        <f t="shared" si="1"/>
        <v>0.3483528211</v>
      </c>
      <c r="F91" s="42"/>
      <c r="G91" s="35" t="s">
        <v>195</v>
      </c>
      <c r="H91" s="31">
        <f>IFERROR(
  VLOOKUP(
    G91,
    'Rail Ridership'!$D:$E,
    2,
    FALSE
  ),
  ""
)
</f>
        <v>1411856</v>
      </c>
      <c r="I91" s="32">
        <f>H91*'Free Fare Day Adjustment'!$H$4</f>
        <v>1306228.446</v>
      </c>
      <c r="J91" s="30" t="s">
        <v>196</v>
      </c>
      <c r="K91" s="36">
        <f>IFERROR(
  VLOOKUP(
    J91,
    'Station Fare Counts'!$A:$E,
    5,
    FALSE
  ),
  ""
)
</f>
        <v>674205</v>
      </c>
      <c r="L91" s="37">
        <f t="shared" si="2"/>
        <v>0.483853684</v>
      </c>
      <c r="M91" s="38"/>
    </row>
    <row r="92" ht="22.5" customHeight="1">
      <c r="A92" s="30">
        <v>222.0</v>
      </c>
      <c r="B92" s="31">
        <f>IFERROR(
  VLOOKUP(
    A92,
    'Bus Ridership'!$A:$B,
    2,
    FALSE
  ),
  ""
)
</f>
        <v>359032</v>
      </c>
      <c r="C92" s="32">
        <f>B92*'Free Fare Day Adjustment'!$H$3</f>
        <v>331034.6238</v>
      </c>
      <c r="D92" s="31">
        <f>IFERROR(
  VLOOKUP(
    A92,
    'Bus Fare Counts'!$A:$F,
    6,
    FALSE
  ),
  ""
)
</f>
        <v>216896</v>
      </c>
      <c r="E92" s="33">
        <f t="shared" si="1"/>
        <v>0.3447936125</v>
      </c>
      <c r="F92" s="42"/>
      <c r="G92" s="35" t="s">
        <v>197</v>
      </c>
      <c r="H92" s="31">
        <f>IFERROR(
  VLOOKUP(
    G92,
    'Rail Ridership'!$D:$E,
    2,
    FALSE
  ),
  ""
)
</f>
        <v>339134</v>
      </c>
      <c r="I92" s="32">
        <f>H92*'Free Fare Day Adjustment'!$H$4</f>
        <v>313761.7984</v>
      </c>
      <c r="J92" s="30" t="s">
        <v>198</v>
      </c>
      <c r="K92" s="36">
        <f>IFERROR(
  VLOOKUP(
    J92,
    'Station Fare Counts'!$A:$E,
    5,
    FALSE
  ),
  ""
)
</f>
        <v>169282</v>
      </c>
      <c r="L92" s="37">
        <f t="shared" si="2"/>
        <v>0.4604760654</v>
      </c>
      <c r="M92" s="38"/>
    </row>
    <row r="93" ht="22.5" customHeight="1">
      <c r="A93" s="30">
        <v>70.0</v>
      </c>
      <c r="B93" s="31">
        <f>IFERROR(
  VLOOKUP(
    A93,
    'Bus Ridership'!$A:$B,
    2,
    FALSE
  ),
  ""
)
</f>
        <v>4882793</v>
      </c>
      <c r="C93" s="32">
        <f>B93*'Free Fare Day Adjustment'!$H$3</f>
        <v>4502031.974</v>
      </c>
      <c r="D93" s="31">
        <f>IFERROR(
  VLOOKUP(
    A93,
    'Bus Fare Counts'!$A:$F,
    6,
    FALSE
  ),
  ""
)
</f>
        <v>2980620</v>
      </c>
      <c r="E93" s="33">
        <f t="shared" si="1"/>
        <v>0.3379389536</v>
      </c>
      <c r="F93" s="42"/>
      <c r="G93" s="35" t="s">
        <v>199</v>
      </c>
      <c r="H93" s="31">
        <f>IFERROR(
  VLOOKUP(
    G93,
    'Rail Ridership'!$D:$E,
    2,
    FALSE
  ),
  ""
)
</f>
        <v>243502</v>
      </c>
      <c r="I93" s="32">
        <f>H93*'Free Fare Day Adjustment'!$H$4</f>
        <v>225284.4759</v>
      </c>
      <c r="J93" s="30" t="s">
        <v>200</v>
      </c>
      <c r="K93" s="36">
        <f>IFERROR(
  VLOOKUP(
    J93,
    'Station Fare Counts'!$A:$E,
    5,
    FALSE
  ),
  ""
)
</f>
        <v>122458</v>
      </c>
      <c r="L93" s="37">
        <f t="shared" si="2"/>
        <v>0.4564294786</v>
      </c>
      <c r="M93" s="38"/>
    </row>
    <row r="94" ht="22.5" customHeight="1">
      <c r="A94" s="30">
        <v>180.0</v>
      </c>
      <c r="B94" s="31">
        <f>IFERROR(
  VLOOKUP(
    A94,
    'Bus Ridership'!$A:$B,
    2,
    FALSE
  ),
  ""
)
</f>
        <v>2546073</v>
      </c>
      <c r="C94" s="32">
        <f>B94*'Free Fare Day Adjustment'!$H$3</f>
        <v>2347529.796</v>
      </c>
      <c r="D94" s="31">
        <f>IFERROR(
  VLOOKUP(
    A94,
    'Bus Fare Counts'!$A:$F,
    6,
    FALSE
  ),
  ""
)
</f>
        <v>1555288</v>
      </c>
      <c r="E94" s="33">
        <f t="shared" si="1"/>
        <v>0.3374789097</v>
      </c>
      <c r="F94" s="42"/>
      <c r="G94" s="35" t="s">
        <v>201</v>
      </c>
      <c r="H94" s="31">
        <f>IFERROR(
  VLOOKUP(
    G94,
    'Rail Ridership'!$D:$E,
    2,
    FALSE
  ),
  ""
)
</f>
        <v>583696</v>
      </c>
      <c r="I94" s="32">
        <f>H94*'Free Fare Day Adjustment'!$H$4</f>
        <v>540026.9707</v>
      </c>
      <c r="J94" s="30" t="s">
        <v>202</v>
      </c>
      <c r="K94" s="36">
        <f>IFERROR(
  VLOOKUP(
    J94,
    'Station Fare Counts'!$A:$E,
    5,
    FALSE
  ),
  ""
)
</f>
        <v>299833</v>
      </c>
      <c r="L94" s="37">
        <f t="shared" si="2"/>
        <v>0.4447814345</v>
      </c>
      <c r="M94" s="38"/>
    </row>
    <row r="95" ht="22.5" customHeight="1">
      <c r="A95" s="30">
        <v>94.0</v>
      </c>
      <c r="B95" s="31">
        <f>IFERROR(
  VLOOKUP(
    A95,
    'Bus Ridership'!$A:$B,
    2,
    FALSE
  ),
  ""
)
</f>
        <v>2246146</v>
      </c>
      <c r="C95" s="32">
        <f>B95*'Free Fare Day Adjustment'!$H$3</f>
        <v>2070991.154</v>
      </c>
      <c r="D95" s="31">
        <f>IFERROR(
  VLOOKUP(
    A95,
    'Bus Fare Counts'!$A:$F,
    6,
    FALSE
  ),
  ""
)
</f>
        <v>1381783</v>
      </c>
      <c r="E95" s="33">
        <f t="shared" si="1"/>
        <v>0.3327914525</v>
      </c>
      <c r="F95" s="42"/>
      <c r="G95" s="35" t="s">
        <v>203</v>
      </c>
      <c r="H95" s="31">
        <f>IFERROR(
  VLOOKUP(
    G95,
    'Rail Ridership'!$D:$E,
    2,
    FALSE
  ),
  ""
)
</f>
        <v>916669</v>
      </c>
      <c r="I95" s="32">
        <f>H95*'Free Fare Day Adjustment'!$H$4</f>
        <v>848088.7023</v>
      </c>
      <c r="J95" s="30" t="s">
        <v>204</v>
      </c>
      <c r="K95" s="36">
        <f>IFERROR(
  VLOOKUP(
    J95,
    'Station Fare Counts'!$A:$E,
    5,
    FALSE
  ),
  ""
)
</f>
        <v>476704</v>
      </c>
      <c r="L95" s="37">
        <f t="shared" si="2"/>
        <v>0.4379078525</v>
      </c>
      <c r="M95" s="38"/>
    </row>
    <row r="96" ht="22.5" customHeight="1">
      <c r="A96" s="30">
        <v>260.0</v>
      </c>
      <c r="B96" s="31">
        <f>IFERROR(
  VLOOKUP(
    A96,
    'Bus Ridership'!$A:$B,
    2,
    FALSE
  ),
  ""
)
</f>
        <v>3340447</v>
      </c>
      <c r="C96" s="32">
        <f>B96*'Free Fare Day Adjustment'!$H$3</f>
        <v>3079958.377</v>
      </c>
      <c r="D96" s="31">
        <f>IFERROR(
  VLOOKUP(
    A96,
    'Bus Fare Counts'!$A:$F,
    6,
    FALSE
  ),
  ""
)
</f>
        <v>2063883</v>
      </c>
      <c r="E96" s="33">
        <f t="shared" si="1"/>
        <v>0.3298990611</v>
      </c>
      <c r="F96" s="42"/>
      <c r="G96" s="35" t="s">
        <v>205</v>
      </c>
      <c r="H96" s="31">
        <f>IFERROR(
  VLOOKUP(
    G96,
    'Rail Ridership'!$D:$E,
    2,
    FALSE
  ),
  ""
)
</f>
        <v>596425</v>
      </c>
      <c r="I96" s="32">
        <f>H96*'Free Fare Day Adjustment'!$H$4</f>
        <v>551803.6546</v>
      </c>
      <c r="J96" s="30" t="s">
        <v>206</v>
      </c>
      <c r="K96" s="36">
        <f>IFERROR(
  VLOOKUP(
    J96,
    'Station Fare Counts'!$A:$E,
    5,
    FALSE
  ),
  ""
)
</f>
        <v>310764</v>
      </c>
      <c r="L96" s="37">
        <f t="shared" si="2"/>
        <v>0.4368214176</v>
      </c>
      <c r="M96" s="38"/>
    </row>
    <row r="97" ht="22.5" customHeight="1">
      <c r="A97" s="30">
        <v>265.0</v>
      </c>
      <c r="B97" s="31">
        <f>IFERROR(
  VLOOKUP(
    A97,
    'Bus Ridership'!$A:$B,
    2,
    FALSE
  ),
  ""
)
</f>
        <v>374328</v>
      </c>
      <c r="C97" s="32">
        <f>B97*'Free Fare Day Adjustment'!$H$3</f>
        <v>345137.8391</v>
      </c>
      <c r="D97" s="31">
        <f>IFERROR(
  VLOOKUP(
    A97,
    'Bus Fare Counts'!$A:$F,
    6,
    FALSE
  ),
  ""
)
</f>
        <v>233261</v>
      </c>
      <c r="E97" s="33">
        <f t="shared" si="1"/>
        <v>0.3241511838</v>
      </c>
      <c r="F97" s="42"/>
      <c r="G97" s="35" t="s">
        <v>207</v>
      </c>
      <c r="H97" s="31">
        <f>IFERROR(
  VLOOKUP(
    G97,
    'Rail Ridership'!$D:$E,
    2,
    FALSE
  ),
  ""
)
</f>
        <v>810409</v>
      </c>
      <c r="I97" s="32">
        <f>H97*'Free Fare Day Adjustment'!$H$4</f>
        <v>749778.5102</v>
      </c>
      <c r="J97" s="30" t="s">
        <v>208</v>
      </c>
      <c r="K97" s="36">
        <f>IFERROR(
  VLOOKUP(
    J97,
    'Station Fare Counts'!$A:$E,
    5,
    FALSE
  ),
  ""
)
</f>
        <v>423098</v>
      </c>
      <c r="L97" s="37">
        <f t="shared" si="2"/>
        <v>0.4357026852</v>
      </c>
      <c r="M97" s="38"/>
    </row>
    <row r="98" ht="22.5" customHeight="1">
      <c r="A98" s="30">
        <v>92.0</v>
      </c>
      <c r="B98" s="31">
        <f>IFERROR(
  VLOOKUP(
    A98,
    'Bus Ridership'!$A:$B,
    2,
    FALSE
  ),
  ""
)
</f>
        <v>1947636</v>
      </c>
      <c r="C98" s="32">
        <f>B98*'Free Fare Day Adjustment'!$H$3</f>
        <v>1795759.015</v>
      </c>
      <c r="D98" s="31">
        <f>IFERROR(
  VLOOKUP(
    A98,
    'Bus Fare Counts'!$A:$F,
    6,
    FALSE
  ),
  ""
)
</f>
        <v>1219656</v>
      </c>
      <c r="E98" s="33">
        <f t="shared" si="1"/>
        <v>0.3208130991</v>
      </c>
      <c r="F98" s="42"/>
      <c r="G98" s="35" t="s">
        <v>209</v>
      </c>
      <c r="H98" s="31">
        <f>IFERROR(
  VLOOKUP(
    G98,
    'Rail Ridership'!$D:$E,
    2,
    FALSE
  ),
  ""
)
</f>
        <v>52404</v>
      </c>
      <c r="I98" s="32">
        <f>H98*'Free Fare Day Adjustment'!$H$4</f>
        <v>48483.41152</v>
      </c>
      <c r="J98" s="30" t="s">
        <v>210</v>
      </c>
      <c r="K98" s="36">
        <f>IFERROR(
  VLOOKUP(
    J98,
    'Station Fare Counts'!$A:$E,
    5,
    FALSE
  ),
  ""
)
</f>
        <v>27627</v>
      </c>
      <c r="L98" s="37">
        <f t="shared" si="2"/>
        <v>0.4301762369</v>
      </c>
      <c r="M98" s="38"/>
    </row>
    <row r="99" ht="22.5" customHeight="1">
      <c r="A99" s="30">
        <v>78.0</v>
      </c>
      <c r="B99" s="31">
        <f>IFERROR(
  VLOOKUP(
    A99,
    'Bus Ridership'!$A:$B,
    2,
    FALSE
  ),
  ""
)
</f>
        <v>2221565</v>
      </c>
      <c r="C99" s="32">
        <f>B99*'Free Fare Day Adjustment'!$H$3</f>
        <v>2048326.985</v>
      </c>
      <c r="D99" s="31">
        <f>IFERROR(
  VLOOKUP(
    A99,
    'Bus Fare Counts'!$A:$F,
    6,
    FALSE
  ),
  ""
)
</f>
        <v>1391433</v>
      </c>
      <c r="E99" s="33">
        <f t="shared" si="1"/>
        <v>0.3206978132</v>
      </c>
      <c r="F99" s="42"/>
      <c r="G99" s="35" t="s">
        <v>211</v>
      </c>
      <c r="H99" s="31">
        <f>IFERROR(
  VLOOKUP(
    G99,
    'Rail Ridership'!$D:$E,
    2,
    FALSE
  ),
  ""
)
</f>
        <v>36673</v>
      </c>
      <c r="I99" s="32">
        <f>H99*'Free Fare Day Adjustment'!$H$4</f>
        <v>33929.32125</v>
      </c>
      <c r="J99" s="30" t="s">
        <v>212</v>
      </c>
      <c r="K99" s="36">
        <f>IFERROR(
  VLOOKUP(
    J99,
    'Station Fare Counts'!$A:$E,
    5,
    FALSE
  ),
  ""
)
</f>
        <v>19340</v>
      </c>
      <c r="L99" s="37">
        <f t="shared" si="2"/>
        <v>0.4299915446</v>
      </c>
      <c r="M99" s="38"/>
    </row>
    <row r="100" ht="22.5" customHeight="1">
      <c r="A100" s="30">
        <v>106.0</v>
      </c>
      <c r="B100" s="31">
        <f>IFERROR(
  VLOOKUP(
    A100,
    'Bus Ridership'!$A:$B,
    2,
    FALSE
  ),
  ""
)
</f>
        <v>1119003</v>
      </c>
      <c r="C100" s="32">
        <f>B100*'Free Fare Day Adjustment'!$H$3</f>
        <v>1031742.956</v>
      </c>
      <c r="D100" s="31">
        <f>IFERROR(
  VLOOKUP(
    A100,
    'Bus Fare Counts'!$A:$F,
    6,
    FALSE
  ),
  ""
)
</f>
        <v>701362</v>
      </c>
      <c r="E100" s="33">
        <f t="shared" si="1"/>
        <v>0.320216343</v>
      </c>
      <c r="F100" s="42"/>
      <c r="G100" s="35" t="s">
        <v>213</v>
      </c>
      <c r="H100" s="31">
        <f>IFERROR(
  VLOOKUP(
    G100,
    'Rail Ridership'!$D:$E,
    2,
    FALSE
  ),
  ""
)
</f>
        <v>1095750</v>
      </c>
      <c r="I100" s="32">
        <f>H100*'Free Fare Day Adjustment'!$H$4</f>
        <v>1013771.815</v>
      </c>
      <c r="J100" s="30" t="s">
        <v>214</v>
      </c>
      <c r="K100" s="36">
        <f>IFERROR(
  VLOOKUP(
    J100,
    'Station Fare Counts'!$A:$E,
    5,
    FALSE
  ),
  ""
)
</f>
        <v>577866</v>
      </c>
      <c r="L100" s="37">
        <f t="shared" si="2"/>
        <v>0.4299841526</v>
      </c>
      <c r="M100" s="38"/>
    </row>
    <row r="101" ht="22.5" customHeight="1">
      <c r="A101" s="30">
        <v>344.0</v>
      </c>
      <c r="B101" s="31">
        <f>IFERROR(
  VLOOKUP(
    A101,
    'Bus Ridership'!$A:$B,
    2,
    FALSE
  ),
  ""
)
</f>
        <v>451887</v>
      </c>
      <c r="C101" s="32">
        <f>B101*'Free Fare Day Adjustment'!$H$3</f>
        <v>416648.7752</v>
      </c>
      <c r="D101" s="31">
        <f>IFERROR(
  VLOOKUP(
    A101,
    'Bus Fare Counts'!$A:$F,
    6,
    FALSE
  ),
  ""
)
</f>
        <v>285629</v>
      </c>
      <c r="E101" s="33">
        <f t="shared" si="1"/>
        <v>0.3144609632</v>
      </c>
      <c r="F101" s="42"/>
      <c r="G101" s="35" t="s">
        <v>215</v>
      </c>
      <c r="H101" s="31">
        <f>IFERROR(
  VLOOKUP(
    G101,
    'Rail Ridership'!$D:$E,
    2,
    FALSE
  ),
  ""
)
</f>
        <v>755135</v>
      </c>
      <c r="I101" s="32">
        <f>H101*'Free Fare Day Adjustment'!$H$4</f>
        <v>698639.8168</v>
      </c>
      <c r="J101" s="30" t="s">
        <v>216</v>
      </c>
      <c r="K101" s="36">
        <f>IFERROR(
  VLOOKUP(
    J101,
    'Station Fare Counts'!$A:$E,
    5,
    FALSE
  ),
  ""
)
</f>
        <v>426311</v>
      </c>
      <c r="L101" s="37">
        <f t="shared" si="2"/>
        <v>0.3897985919</v>
      </c>
      <c r="M101" s="38"/>
    </row>
    <row r="102" ht="22.5" customHeight="1">
      <c r="A102" s="30">
        <v>158.0</v>
      </c>
      <c r="B102" s="31">
        <f>IFERROR(
  VLOOKUP(
    A102,
    'Bus Ridership'!$A:$B,
    2,
    FALSE
  ),
  ""
)
</f>
        <v>572873</v>
      </c>
      <c r="C102" s="32">
        <f>B102*'Free Fare Day Adjustment'!$H$3</f>
        <v>528200.2664</v>
      </c>
      <c r="D102" s="31">
        <f>IFERROR(
  VLOOKUP(
    A102,
    'Bus Fare Counts'!$A:$F,
    6,
    FALSE
  ),
  ""
)
</f>
        <v>364422</v>
      </c>
      <c r="E102" s="33">
        <f t="shared" si="1"/>
        <v>0.310068504</v>
      </c>
      <c r="F102" s="42"/>
      <c r="G102" s="35" t="s">
        <v>217</v>
      </c>
      <c r="H102" s="31">
        <f>IFERROR(
  VLOOKUP(
    G102,
    'Rail Ridership'!$D:$E,
    2,
    FALSE
  ),
  ""
)
</f>
        <v>51754</v>
      </c>
      <c r="I102" s="32">
        <f>H102*'Free Fare Day Adjustment'!$H$4</f>
        <v>47882.04107</v>
      </c>
      <c r="J102" s="30" t="s">
        <v>218</v>
      </c>
      <c r="K102" s="36">
        <f>IFERROR(
  VLOOKUP(
    J102,
    'Station Fare Counts'!$A:$E,
    5,
    FALSE
  ),
  ""
)
</f>
        <v>29371</v>
      </c>
      <c r="L102" s="37">
        <f t="shared" si="2"/>
        <v>0.3865967418</v>
      </c>
      <c r="M102" s="38"/>
    </row>
    <row r="103" ht="22.5" customHeight="1">
      <c r="A103" s="30">
        <v>294.0</v>
      </c>
      <c r="B103" s="31">
        <f>IFERROR(
  VLOOKUP(
    A103,
    'Bus Ridership'!$A:$B,
    2,
    FALSE
  ),
  ""
)
</f>
        <v>444154</v>
      </c>
      <c r="C103" s="32">
        <f>B103*'Free Fare Day Adjustment'!$H$3</f>
        <v>409518.7958</v>
      </c>
      <c r="D103" s="31">
        <f>IFERROR(
  VLOOKUP(
    A103,
    'Bus Fare Counts'!$A:$F,
    6,
    FALSE
  ),
  ""
)
</f>
        <v>287707</v>
      </c>
      <c r="E103" s="33">
        <f t="shared" si="1"/>
        <v>0.29745105</v>
      </c>
      <c r="F103" s="42"/>
      <c r="G103" s="35" t="s">
        <v>219</v>
      </c>
      <c r="H103" s="31">
        <f>IFERROR(
  VLOOKUP(
    G103,
    'Rail Ridership'!$D:$E,
    2,
    FALSE
  ),
  ""
)
</f>
        <v>823932</v>
      </c>
      <c r="I103" s="32">
        <f>H103*'Free Fare Day Adjustment'!$H$4</f>
        <v>762289.7913</v>
      </c>
      <c r="J103" s="30" t="s">
        <v>220</v>
      </c>
      <c r="K103" s="36">
        <f>IFERROR(
  VLOOKUP(
    J103,
    'Station Fare Counts'!$A:$E,
    5,
    FALSE
  ),
  ""
)
</f>
        <v>472618</v>
      </c>
      <c r="L103" s="37">
        <f t="shared" si="2"/>
        <v>0.3800021916</v>
      </c>
      <c r="M103" s="38"/>
    </row>
    <row r="104" ht="22.5" customHeight="1">
      <c r="A104" s="30">
        <v>90.0</v>
      </c>
      <c r="B104" s="31">
        <f>IFERROR(
  VLOOKUP(
    A104,
    'Bus Ridership'!$A:$B,
    2,
    FALSE
  ),
  ""
)
</f>
        <v>1908931</v>
      </c>
      <c r="C104" s="32">
        <f>B104*'Free Fare Day Adjustment'!$H$3</f>
        <v>1760072.237</v>
      </c>
      <c r="D104" s="31">
        <f>IFERROR(
  VLOOKUP(
    A104,
    'Bus Fare Counts'!$A:$F,
    6,
    FALSE
  ),
  ""
)
</f>
        <v>1245074</v>
      </c>
      <c r="E104" s="33">
        <f t="shared" si="1"/>
        <v>0.2926006253</v>
      </c>
      <c r="F104" s="42"/>
      <c r="G104" s="35" t="s">
        <v>221</v>
      </c>
      <c r="H104" s="31">
        <f>IFERROR(
  VLOOKUP(
    G104,
    'Rail Ridership'!$D:$E,
    2,
    FALSE
  ),
  ""
)
</f>
        <v>326195</v>
      </c>
      <c r="I104" s="32">
        <f>H104*'Free Fare Day Adjustment'!$H$4</f>
        <v>301790.8255</v>
      </c>
      <c r="J104" s="30" t="s">
        <v>222</v>
      </c>
      <c r="K104" s="36">
        <f>IFERROR(
  VLOOKUP(
    J104,
    'Station Fare Counts'!$A:$E,
    5,
    FALSE
  ),
  ""
)
</f>
        <v>187564</v>
      </c>
      <c r="L104" s="37">
        <f t="shared" si="2"/>
        <v>0.3784966801</v>
      </c>
      <c r="M104" s="38"/>
    </row>
    <row r="105" ht="22.5" customHeight="1">
      <c r="A105" s="30">
        <v>665.0</v>
      </c>
      <c r="B105" s="31">
        <f>IFERROR(
  VLOOKUP(
    A105,
    'Bus Ridership'!$A:$B,
    2,
    FALSE
  ),
  ""
)
</f>
        <v>225756</v>
      </c>
      <c r="C105" s="32">
        <f>B105*'Free Fare Day Adjustment'!$H$3</f>
        <v>208151.5089</v>
      </c>
      <c r="D105" s="31">
        <f>IFERROR(
  VLOOKUP(
    A105,
    'Bus Fare Counts'!$A:$F,
    6,
    FALSE
  ),
  ""
)
</f>
        <v>147841</v>
      </c>
      <c r="E105" s="33">
        <f t="shared" si="1"/>
        <v>0.2897433182</v>
      </c>
      <c r="F105" s="42"/>
      <c r="G105" s="35" t="s">
        <v>223</v>
      </c>
      <c r="H105" s="31">
        <f>IFERROR(
  VLOOKUP(
    G105,
    'Rail Ridership'!$D:$E,
    2,
    FALSE
  ),
  ""
)
</f>
        <v>1283065</v>
      </c>
      <c r="I105" s="32">
        <f>H105*'Free Fare Day Adjustment'!$H$4</f>
        <v>1187072.903</v>
      </c>
      <c r="J105" s="30" t="s">
        <v>224</v>
      </c>
      <c r="K105" s="36">
        <f>IFERROR(
  VLOOKUP(
    J105,
    'Station Fare Counts'!$A:$E,
    5,
    FALSE
  ),
  ""
)
</f>
        <v>753550</v>
      </c>
      <c r="L105" s="37">
        <f t="shared" si="2"/>
        <v>0.3652032675</v>
      </c>
      <c r="M105" s="38"/>
    </row>
    <row r="106" ht="22.5" customHeight="1">
      <c r="A106" s="30">
        <v>161.0</v>
      </c>
      <c r="B106" s="31">
        <f>IFERROR(
  VLOOKUP(
    A106,
    'Bus Ridership'!$A:$B,
    2,
    FALSE
  ),
  ""
)
</f>
        <v>247573</v>
      </c>
      <c r="C106" s="32">
        <f>B106*'Free Fare Day Adjustment'!$H$3</f>
        <v>228267.2155</v>
      </c>
      <c r="D106" s="31">
        <f>IFERROR(
  VLOOKUP(
    A106,
    'Bus Fare Counts'!$A:$F,
    6,
    FALSE
  ),
  ""
)
</f>
        <v>163098</v>
      </c>
      <c r="E106" s="33">
        <f t="shared" si="1"/>
        <v>0.2854952927</v>
      </c>
      <c r="F106" s="42"/>
      <c r="G106" s="35" t="s">
        <v>225</v>
      </c>
      <c r="H106" s="31">
        <f>IFERROR(
  VLOOKUP(
    G106,
    'Rail Ridership'!$D:$E,
    2,
    FALSE
  ),
  ""
)
</f>
        <v>316963</v>
      </c>
      <c r="I106" s="32">
        <f>H106*'Free Fare Day Adjustment'!$H$4</f>
        <v>293249.5147</v>
      </c>
      <c r="J106" s="30" t="s">
        <v>226</v>
      </c>
      <c r="K106" s="36">
        <f>IFERROR(
  VLOOKUP(
    J106,
    'Station Fare Counts'!$A:$E,
    5,
    FALSE
  ),
  ""
)
</f>
        <v>191960</v>
      </c>
      <c r="L106" s="37">
        <f t="shared" si="2"/>
        <v>0.3454038612</v>
      </c>
      <c r="M106" s="38"/>
    </row>
    <row r="107" ht="22.5" customHeight="1">
      <c r="A107" s="30">
        <v>258.0</v>
      </c>
      <c r="B107" s="31">
        <f>IFERROR(
  VLOOKUP(
    A107,
    'Bus Ridership'!$A:$B,
    2,
    FALSE
  ),
  ""
)
</f>
        <v>658707</v>
      </c>
      <c r="C107" s="32">
        <f>B107*'Free Fare Day Adjustment'!$H$3</f>
        <v>607340.9165</v>
      </c>
      <c r="D107" s="31">
        <f>IFERROR(
  VLOOKUP(
    A107,
    'Bus Fare Counts'!$A:$F,
    6,
    FALSE
  ),
  ""
)
</f>
        <v>435244</v>
      </c>
      <c r="E107" s="33">
        <f t="shared" si="1"/>
        <v>0.283361308</v>
      </c>
      <c r="F107" s="42"/>
      <c r="G107" s="35" t="s">
        <v>227</v>
      </c>
      <c r="H107" s="31">
        <f>IFERROR(
  VLOOKUP(
    G107,
    'Rail Ridership'!$D:$E,
    2,
    FALSE
  ),
  ""
)
</f>
        <v>1709706</v>
      </c>
      <c r="I107" s="32">
        <f>H107*'Free Fare Day Adjustment'!$H$4</f>
        <v>1581794.893</v>
      </c>
      <c r="J107" s="30" t="s">
        <v>228</v>
      </c>
      <c r="K107" s="36">
        <f>IFERROR(
  VLOOKUP(
    J107,
    'Station Fare Counts'!$A:$E,
    5,
    FALSE
  ),
  ""
)
</f>
        <v>1400596</v>
      </c>
      <c r="L107" s="37">
        <f t="shared" si="2"/>
        <v>0.1145527109</v>
      </c>
      <c r="M107" s="38"/>
    </row>
    <row r="108" ht="22.5" customHeight="1">
      <c r="A108" s="30">
        <v>76.0</v>
      </c>
      <c r="B108" s="31">
        <f>IFERROR(
  VLOOKUP(
    A108,
    'Bus Ridership'!$A:$B,
    2,
    FALSE
  ),
  ""
)
</f>
        <v>2021710</v>
      </c>
      <c r="C108" s="32">
        <f>B108*'Free Fare Day Adjustment'!$H$3</f>
        <v>1864056.712</v>
      </c>
      <c r="D108" s="31">
        <f>IFERROR(
  VLOOKUP(
    A108,
    'Bus Fare Counts'!$A:$F,
    6,
    FALSE
  ),
  ""
)
</f>
        <v>1346676</v>
      </c>
      <c r="E108" s="33">
        <f t="shared" si="1"/>
        <v>0.2775563149</v>
      </c>
      <c r="F108" s="42"/>
      <c r="G108" s="35" t="s">
        <v>229</v>
      </c>
      <c r="H108" s="31">
        <f>IFERROR(
  VLOOKUP(
    G108,
    'Rail Ridership'!$D:$E,
    2,
    FALSE
  ),
  ""
)
</f>
        <v>1928865</v>
      </c>
      <c r="I108" s="32">
        <f>H108*'Free Fare Day Adjustment'!$H$4</f>
        <v>1784557.583</v>
      </c>
      <c r="J108" s="30" t="s">
        <v>230</v>
      </c>
      <c r="K108" s="36">
        <f>IFERROR(
  VLOOKUP(
    J108,
    'Station Fare Counts'!$A:$E,
    5,
    FALSE
  ),
  ""
)
</f>
        <v>1634919</v>
      </c>
      <c r="L108" s="37">
        <f t="shared" si="2"/>
        <v>0.08385192175</v>
      </c>
      <c r="M108" s="38"/>
    </row>
    <row r="109" ht="22.5" customHeight="1">
      <c r="A109" s="30">
        <v>179.0</v>
      </c>
      <c r="B109" s="31">
        <f>IFERROR(
  VLOOKUP(
    A109,
    'Bus Ridership'!$A:$B,
    2,
    FALSE
  ),
  ""
)
</f>
        <v>308674</v>
      </c>
      <c r="C109" s="32">
        <f>B109*'Free Fare Day Adjustment'!$H$3</f>
        <v>284603.5492</v>
      </c>
      <c r="D109" s="31">
        <f>IFERROR(
  VLOOKUP(
    A109,
    'Bus Fare Counts'!$A:$F,
    6,
    FALSE
  ),
  ""
)
</f>
        <v>206550</v>
      </c>
      <c r="E109" s="33">
        <f t="shared" si="1"/>
        <v>0.2742536044</v>
      </c>
      <c r="F109" s="42"/>
      <c r="G109" s="35" t="s">
        <v>231</v>
      </c>
      <c r="H109" s="31">
        <f>IFERROR(
  VLOOKUP(
    G109,
    'Rail Ridership'!$D:$E,
    2,
    FALSE
  ),
  ""
)
</f>
        <v>2126497</v>
      </c>
      <c r="I109" s="32">
        <f>H109*'Free Fare Day Adjustment'!$H$4</f>
        <v>1967403.808</v>
      </c>
      <c r="J109" s="30" t="s">
        <v>232</v>
      </c>
      <c r="K109" s="36">
        <f>IFERROR(
  VLOOKUP(
    J109,
    'Station Fare Counts'!$A:$E,
    5,
    FALSE
  ),
  ""
)
</f>
        <v>2195180</v>
      </c>
      <c r="L109" s="37">
        <f t="shared" si="2"/>
        <v>-0.1157750082</v>
      </c>
      <c r="M109" s="52" t="s">
        <v>233</v>
      </c>
    </row>
    <row r="110" ht="22.5" customHeight="1">
      <c r="A110" s="30">
        <v>662.0</v>
      </c>
      <c r="B110" s="31">
        <f>IFERROR(
  VLOOKUP(
    A110,
    'Bus Ridership'!$A:$B,
    2,
    FALSE
  ),
  ""
)
</f>
        <v>461287</v>
      </c>
      <c r="C110" s="32">
        <f>B110*'Free Fare Day Adjustment'!$H$3</f>
        <v>425315.7616</v>
      </c>
      <c r="D110" s="31">
        <f>IFERROR(
  VLOOKUP(
    A110,
    'Bus Fare Counts'!$A:$F,
    6,
    FALSE
  ),
  ""
)
</f>
        <v>310979</v>
      </c>
      <c r="E110" s="33">
        <f t="shared" si="1"/>
        <v>0.2688279436</v>
      </c>
      <c r="F110" s="42"/>
      <c r="G110" s="39" t="s">
        <v>29</v>
      </c>
      <c r="H110" s="36">
        <f>SUM(Rail_Stations[APC Boardings])</f>
        <v>54118342</v>
      </c>
      <c r="I110" s="36">
        <f>SUM(Rail_Stations[Boardings with Free Day Adjustment])</f>
        <v>50069495.58</v>
      </c>
      <c r="J110" s="30" t="s">
        <v>29</v>
      </c>
      <c r="K110" s="36">
        <f>SUM(Rail_Stations[Paid Entries])</f>
        <v>21817565</v>
      </c>
      <c r="L110" s="37">
        <f t="shared" si="2"/>
        <v>0.5642543479</v>
      </c>
      <c r="M110" s="53"/>
    </row>
    <row r="111" ht="22.5" customHeight="1">
      <c r="A111" s="30">
        <v>287.0</v>
      </c>
      <c r="B111" s="31">
        <f>IFERROR(
  VLOOKUP(
    A111,
    'Bus Ridership'!$A:$B,
    2,
    FALSE
  ),
  ""
)
</f>
        <v>273866</v>
      </c>
      <c r="C111" s="32">
        <f>B111*'Free Fare Day Adjustment'!$H$3</f>
        <v>252509.8829</v>
      </c>
      <c r="D111" s="31">
        <f>IFERROR(
  VLOOKUP(
    A111,
    'Bus Fare Counts'!$A:$F,
    6,
    FALSE
  ),
  ""
)
</f>
        <v>188401</v>
      </c>
      <c r="E111" s="33">
        <f t="shared" si="1"/>
        <v>0.2538866288</v>
      </c>
      <c r="F111" s="42"/>
      <c r="I111" s="54"/>
      <c r="J111" s="50"/>
    </row>
    <row r="112" ht="22.5" customHeight="1">
      <c r="A112" s="30">
        <v>268.0</v>
      </c>
      <c r="B112" s="31">
        <f>IFERROR(
  VLOOKUP(
    A112,
    'Bus Ridership'!$A:$B,
    2,
    FALSE
  ),
  ""
)
</f>
        <v>233229</v>
      </c>
      <c r="C112" s="32">
        <f>B112*'Free Fare Day Adjustment'!$H$3</f>
        <v>215041.7631</v>
      </c>
      <c r="D112" s="31">
        <f>IFERROR(
  VLOOKUP(
    A112,
    'Bus Fare Counts'!$A:$F,
    6,
    FALSE
  ),
  ""
)
</f>
        <v>169937</v>
      </c>
      <c r="E112" s="33">
        <f t="shared" si="1"/>
        <v>0.2097488526</v>
      </c>
      <c r="F112" s="42"/>
    </row>
    <row r="113" ht="22.5" customHeight="1">
      <c r="A113" s="30">
        <v>267.0</v>
      </c>
      <c r="B113" s="31">
        <f>IFERROR(
  VLOOKUP(
    A113,
    'Bus Ridership'!$A:$B,
    2,
    FALSE
  ),
  ""
)
</f>
        <v>552877</v>
      </c>
      <c r="C113" s="32">
        <f>B113*'Free Fare Day Adjustment'!$H$3</f>
        <v>509763.5579</v>
      </c>
      <c r="D113" s="31">
        <f>IFERROR(
  VLOOKUP(
    A113,
    'Bus Fare Counts'!$A:$F,
    6,
    FALSE
  ),
  ""
)
</f>
        <v>409443</v>
      </c>
      <c r="E113" s="33">
        <f t="shared" si="1"/>
        <v>0.1967982142</v>
      </c>
      <c r="F113" s="42"/>
    </row>
    <row r="114" ht="22.5" customHeight="1">
      <c r="A114" s="30">
        <v>155.0</v>
      </c>
      <c r="B114" s="31">
        <f>IFERROR(
  VLOOKUP(
    A114,
    'Bus Ridership'!$A:$B,
    2,
    FALSE
  ),
  ""
)
</f>
        <v>410023</v>
      </c>
      <c r="C114" s="32">
        <f>B114*'Free Fare Day Adjustment'!$H$3</f>
        <v>378049.337</v>
      </c>
      <c r="D114" s="31">
        <f>IFERROR(
  VLOOKUP(
    A114,
    'Bus Fare Counts'!$A:$F,
    6,
    FALSE
  ),
  ""
)
</f>
        <v>318569</v>
      </c>
      <c r="E114" s="33">
        <f t="shared" si="1"/>
        <v>0.1573348533</v>
      </c>
      <c r="F114" s="42"/>
    </row>
    <row r="115" ht="22.5" customHeight="1">
      <c r="A115" s="30">
        <v>501.0</v>
      </c>
      <c r="B115" s="31">
        <f>IFERROR(
  VLOOKUP(
    A115,
    'Bus Ridership'!$A:$B,
    2,
    FALSE
  ),
  ""
)
</f>
        <v>434223</v>
      </c>
      <c r="C115" s="32">
        <f>B115*'Free Fare Day Adjustment'!$H$3</f>
        <v>400362.2169</v>
      </c>
      <c r="D115" s="31">
        <f>IFERROR(
  VLOOKUP(
    A115,
    'Bus Fare Counts'!$A:$F,
    6,
    FALSE
  ),
  ""
)
</f>
        <v>351203</v>
      </c>
      <c r="E115" s="33">
        <f t="shared" si="1"/>
        <v>0.1227868535</v>
      </c>
      <c r="F115" s="42"/>
    </row>
    <row r="116" ht="22.5" customHeight="1">
      <c r="A116" s="30">
        <v>857.0</v>
      </c>
      <c r="B116" s="31">
        <f>IFERROR(
  VLOOKUP(
    A116,
    'Bus Ridership'!$A:$B,
    2,
    FALSE
  ),
  ""
)
</f>
        <v>146352</v>
      </c>
      <c r="C116" s="32">
        <f>B116*'Free Fare Day Adjustment'!$H$3</f>
        <v>134939.4462</v>
      </c>
      <c r="D116" s="32" t="s">
        <v>234</v>
      </c>
      <c r="E116" s="55" t="s">
        <v>234</v>
      </c>
      <c r="F116" s="34" t="s">
        <v>235</v>
      </c>
    </row>
    <row r="117" ht="22.5" customHeight="1">
      <c r="A117" s="30" t="s">
        <v>236</v>
      </c>
      <c r="B117" s="32" t="s">
        <v>234</v>
      </c>
      <c r="C117" s="32"/>
      <c r="D117" s="36">
        <v>152766.0</v>
      </c>
      <c r="E117" s="55" t="s">
        <v>234</v>
      </c>
      <c r="F117" s="34" t="s">
        <v>237</v>
      </c>
    </row>
    <row r="118" ht="22.5" customHeight="1">
      <c r="A118" s="30" t="s">
        <v>238</v>
      </c>
      <c r="B118" s="32" t="s">
        <v>234</v>
      </c>
      <c r="C118" s="32"/>
      <c r="D118" s="31">
        <f>IFERROR(
  VLOOKUP(
    A118,
    'Bus Fare Counts'!$A:$F,
    6,
    FALSE
  ),
  ""
)
</f>
        <v>41340</v>
      </c>
      <c r="E118" s="55" t="s">
        <v>234</v>
      </c>
      <c r="F118" s="34" t="s">
        <v>239</v>
      </c>
    </row>
    <row r="119" ht="22.5" customHeight="1">
      <c r="A119" s="55" t="s">
        <v>29</v>
      </c>
      <c r="B119" s="56">
        <f t="shared" ref="B119:D119" si="5">SUM(B5:B118)</f>
        <v>236943315</v>
      </c>
      <c r="C119" s="56">
        <f t="shared" si="5"/>
        <v>218466435.1</v>
      </c>
      <c r="D119" s="56">
        <f t="shared" si="5"/>
        <v>113034486</v>
      </c>
      <c r="E119" s="33">
        <f>1-(D119/C119)</f>
        <v>0.4826002176</v>
      </c>
      <c r="F119" s="53"/>
    </row>
    <row r="120">
      <c r="D120" s="57"/>
    </row>
    <row r="121">
      <c r="C121" s="58"/>
    </row>
  </sheetData>
  <mergeCells count="1">
    <mergeCell ref="A2:I2"/>
  </mergeCells>
  <dataValidations>
    <dataValidation type="custom" allowBlank="1" showDropDown="1" sqref="O6:Q8 H6:H109 K6:L109 B6:E118">
      <formula1>AND(ISNUMBER(B6),(NOT(OR(NOT(ISERROR(DATEVALUE(B6))), AND(ISNUMBER(B6), LEFT(CELL("format", B6))="D")))))</formula1>
    </dataValidation>
  </dataValidations>
  <hyperlinks>
    <hyperlink r:id="rId1" ref="A2"/>
  </hyperlinks>
  <drawing r:id="rId2"/>
  <tableParts count="3">
    <tablePart r:id="rId6"/>
    <tablePart r:id="rId7"/>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0"/>
  </cols>
  <sheetData>
    <row r="1" ht="944.25" customHeight="1">
      <c r="A1" s="59" t="s">
        <v>240</v>
      </c>
    </row>
    <row r="2">
      <c r="K2" s="51" t="s">
        <v>241</v>
      </c>
    </row>
  </sheetData>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15.0"/>
    <col customWidth="1" min="3" max="3" width="15.25"/>
    <col customWidth="1" min="4" max="4" width="12.0"/>
  </cols>
  <sheetData>
    <row r="1">
      <c r="G1" s="17"/>
    </row>
    <row r="2" ht="22.5" customHeight="1">
      <c r="A2" s="60" t="s">
        <v>242</v>
      </c>
      <c r="B2" s="60" t="s">
        <v>243</v>
      </c>
      <c r="C2" s="61" t="s">
        <v>244</v>
      </c>
      <c r="D2" s="60" t="s">
        <v>245</v>
      </c>
      <c r="E2" s="60" t="s">
        <v>246</v>
      </c>
      <c r="G2" s="62" t="s">
        <v>247</v>
      </c>
    </row>
    <row r="3" ht="22.5" customHeight="1">
      <c r="A3" s="63">
        <v>45666.0</v>
      </c>
      <c r="B3" s="36">
        <v>729709.0</v>
      </c>
      <c r="C3" s="36">
        <v>188666.0</v>
      </c>
      <c r="D3" s="39" t="s">
        <v>248</v>
      </c>
      <c r="E3" s="39" t="s">
        <v>249</v>
      </c>
      <c r="G3" s="51" t="s">
        <v>17</v>
      </c>
      <c r="H3" s="58">
        <f>1-(Free_Fare_Days[[#TOTALS],[Estimated Bus Ridership]]/'Bus Ridership'!B114)</f>
        <v>0.9220198306</v>
      </c>
    </row>
    <row r="4" ht="22.5" customHeight="1">
      <c r="A4" s="63">
        <v>45667.0</v>
      </c>
      <c r="B4" s="36">
        <v>729709.0</v>
      </c>
      <c r="C4" s="36">
        <v>188666.0</v>
      </c>
      <c r="D4" s="39" t="s">
        <v>248</v>
      </c>
      <c r="E4" s="39" t="s">
        <v>249</v>
      </c>
      <c r="G4" s="64" t="s">
        <v>21</v>
      </c>
      <c r="H4" s="58">
        <f>1-(Free_Fare_Days[[#TOTALS],[Estimated Rail Ridership]]/'Rail Ridership'!B131)</f>
        <v>0.9251853203</v>
      </c>
    </row>
    <row r="5" ht="22.5" customHeight="1">
      <c r="A5" s="63">
        <v>45668.0</v>
      </c>
      <c r="B5" s="47">
        <v>502735.0</v>
      </c>
      <c r="C5" s="47">
        <v>143662.0</v>
      </c>
      <c r="D5" s="39" t="s">
        <v>250</v>
      </c>
      <c r="E5" s="39" t="s">
        <v>249</v>
      </c>
      <c r="G5" s="64"/>
    </row>
    <row r="6" ht="22.5" customHeight="1">
      <c r="A6" s="63">
        <v>45669.0</v>
      </c>
      <c r="B6" s="47">
        <v>395323.0</v>
      </c>
      <c r="C6" s="47">
        <v>118382.0</v>
      </c>
      <c r="D6" s="39" t="s">
        <v>251</v>
      </c>
      <c r="E6" s="39" t="s">
        <v>249</v>
      </c>
      <c r="G6" s="65"/>
    </row>
    <row r="7" ht="22.5" customHeight="1">
      <c r="A7" s="63">
        <v>45670.0</v>
      </c>
      <c r="B7" s="36">
        <v>729709.0</v>
      </c>
      <c r="C7" s="36">
        <v>188666.0</v>
      </c>
      <c r="D7" s="39" t="s">
        <v>248</v>
      </c>
      <c r="E7" s="39" t="s">
        <v>249</v>
      </c>
      <c r="G7" s="65"/>
    </row>
    <row r="8" ht="22.5" customHeight="1">
      <c r="A8" s="63">
        <v>45671.0</v>
      </c>
      <c r="B8" s="36">
        <v>729709.0</v>
      </c>
      <c r="C8" s="36">
        <v>188666.0</v>
      </c>
      <c r="D8" s="39" t="s">
        <v>248</v>
      </c>
      <c r="E8" s="39" t="s">
        <v>249</v>
      </c>
    </row>
    <row r="9" ht="22.5" customHeight="1">
      <c r="A9" s="63">
        <v>45672.0</v>
      </c>
      <c r="B9" s="36">
        <v>729709.0</v>
      </c>
      <c r="C9" s="36">
        <v>188666.0</v>
      </c>
      <c r="D9" s="39" t="s">
        <v>248</v>
      </c>
      <c r="E9" s="39" t="s">
        <v>249</v>
      </c>
      <c r="G9" s="17" t="s">
        <v>252</v>
      </c>
    </row>
    <row r="10" ht="22.5" customHeight="1">
      <c r="A10" s="63">
        <v>45673.0</v>
      </c>
      <c r="B10" s="36">
        <v>729709.0</v>
      </c>
      <c r="C10" s="36">
        <v>188666.0</v>
      </c>
      <c r="D10" s="39" t="s">
        <v>248</v>
      </c>
      <c r="E10" s="39" t="s">
        <v>249</v>
      </c>
      <c r="G10" s="66" t="s">
        <v>253</v>
      </c>
    </row>
    <row r="11" ht="22.5" customHeight="1">
      <c r="A11" s="63">
        <v>45674.0</v>
      </c>
      <c r="B11" s="36">
        <v>729709.0</v>
      </c>
      <c r="C11" s="36">
        <v>188666.0</v>
      </c>
      <c r="D11" s="39" t="s">
        <v>248</v>
      </c>
      <c r="E11" s="39" t="s">
        <v>249</v>
      </c>
      <c r="G11" s="67" t="s">
        <v>254</v>
      </c>
    </row>
    <row r="12" ht="22.5" customHeight="1">
      <c r="A12" s="63">
        <v>45675.0</v>
      </c>
      <c r="B12" s="47">
        <v>502735.0</v>
      </c>
      <c r="C12" s="47">
        <v>143662.0</v>
      </c>
      <c r="D12" s="39" t="s">
        <v>250</v>
      </c>
      <c r="E12" s="39" t="s">
        <v>249</v>
      </c>
      <c r="G12" s="68" t="s">
        <v>255</v>
      </c>
    </row>
    <row r="13" ht="22.5" customHeight="1">
      <c r="A13" s="63">
        <v>45676.0</v>
      </c>
      <c r="B13" s="47">
        <v>395323.0</v>
      </c>
      <c r="C13" s="47">
        <v>118382.0</v>
      </c>
      <c r="D13" s="39" t="s">
        <v>251</v>
      </c>
      <c r="E13" s="39" t="s">
        <v>249</v>
      </c>
      <c r="G13" s="68" t="s">
        <v>256</v>
      </c>
    </row>
    <row r="14" ht="22.5" customHeight="1">
      <c r="A14" s="63">
        <v>45677.0</v>
      </c>
      <c r="B14" s="36">
        <v>729709.0</v>
      </c>
      <c r="C14" s="36">
        <v>188666.0</v>
      </c>
      <c r="D14" s="39" t="s">
        <v>248</v>
      </c>
      <c r="E14" s="39" t="s">
        <v>249</v>
      </c>
    </row>
    <row r="15" ht="22.5" customHeight="1">
      <c r="A15" s="63">
        <v>45678.0</v>
      </c>
      <c r="B15" s="36">
        <v>729709.0</v>
      </c>
      <c r="C15" s="36">
        <v>188666.0</v>
      </c>
      <c r="D15" s="39" t="s">
        <v>248</v>
      </c>
      <c r="E15" s="39" t="s">
        <v>249</v>
      </c>
    </row>
    <row r="16" ht="22.5" customHeight="1">
      <c r="A16" s="63">
        <v>45679.0</v>
      </c>
      <c r="B16" s="36">
        <v>729709.0</v>
      </c>
      <c r="C16" s="36">
        <v>188666.0</v>
      </c>
      <c r="D16" s="39" t="s">
        <v>248</v>
      </c>
      <c r="E16" s="39" t="s">
        <v>249</v>
      </c>
    </row>
    <row r="17" ht="22.5" customHeight="1">
      <c r="A17" s="63">
        <v>45680.0</v>
      </c>
      <c r="B17" s="36">
        <v>729709.0</v>
      </c>
      <c r="C17" s="36">
        <v>188666.0</v>
      </c>
      <c r="D17" s="39" t="s">
        <v>248</v>
      </c>
      <c r="E17" s="39" t="s">
        <v>249</v>
      </c>
    </row>
    <row r="18" ht="22.5" customHeight="1">
      <c r="A18" s="63">
        <v>45681.0</v>
      </c>
      <c r="B18" s="36">
        <v>729709.0</v>
      </c>
      <c r="C18" s="36">
        <v>188666.0</v>
      </c>
      <c r="D18" s="39" t="s">
        <v>248</v>
      </c>
      <c r="E18" s="39" t="s">
        <v>249</v>
      </c>
    </row>
    <row r="19" ht="22.5" customHeight="1">
      <c r="A19" s="63">
        <v>45682.0</v>
      </c>
      <c r="B19" s="47">
        <v>502735.0</v>
      </c>
      <c r="C19" s="47">
        <v>143662.0</v>
      </c>
      <c r="D19" s="39" t="s">
        <v>250</v>
      </c>
      <c r="E19" s="39" t="s">
        <v>249</v>
      </c>
    </row>
    <row r="20" ht="22.5" customHeight="1">
      <c r="A20" s="63">
        <v>45683.0</v>
      </c>
      <c r="B20" s="47">
        <v>395323.0</v>
      </c>
      <c r="C20" s="47">
        <v>118382.0</v>
      </c>
      <c r="D20" s="39" t="s">
        <v>251</v>
      </c>
      <c r="E20" s="39" t="s">
        <v>249</v>
      </c>
    </row>
    <row r="21" ht="22.5" customHeight="1">
      <c r="A21" s="63">
        <v>45692.0</v>
      </c>
      <c r="B21" s="36">
        <v>739337.0</v>
      </c>
      <c r="C21" s="36">
        <v>206434.0</v>
      </c>
      <c r="D21" s="39" t="s">
        <v>257</v>
      </c>
      <c r="E21" s="39" t="s">
        <v>258</v>
      </c>
    </row>
    <row r="22" ht="22.5" customHeight="1">
      <c r="A22" s="63">
        <v>45769.0</v>
      </c>
      <c r="B22" s="36">
        <v>766058.0</v>
      </c>
      <c r="C22" s="36">
        <v>212682.0</v>
      </c>
      <c r="D22" s="69" t="s">
        <v>259</v>
      </c>
      <c r="E22" s="39" t="s">
        <v>260</v>
      </c>
    </row>
    <row r="23" ht="22.5" customHeight="1">
      <c r="A23" s="63">
        <v>45792.0</v>
      </c>
      <c r="B23" s="36">
        <v>791214.0</v>
      </c>
      <c r="C23" s="36">
        <v>212272.0</v>
      </c>
      <c r="D23" s="69" t="s">
        <v>261</v>
      </c>
      <c r="E23" s="39" t="s">
        <v>262</v>
      </c>
    </row>
    <row r="24" ht="22.5" customHeight="1">
      <c r="A24" s="63">
        <v>45931.0</v>
      </c>
      <c r="B24" s="36">
        <v>760709.0</v>
      </c>
      <c r="C24" s="36">
        <v>216796.0</v>
      </c>
      <c r="D24" s="69" t="s">
        <v>263</v>
      </c>
      <c r="E24" s="39" t="s">
        <v>264</v>
      </c>
    </row>
    <row r="25" ht="22.5" customHeight="1">
      <c r="A25" s="63">
        <v>46015.0</v>
      </c>
      <c r="B25" s="47">
        <v>692420.0</v>
      </c>
      <c r="C25" s="47">
        <v>201308.0</v>
      </c>
      <c r="D25" s="69" t="s">
        <v>265</v>
      </c>
      <c r="E25" s="39" t="s">
        <v>266</v>
      </c>
      <c r="G25" s="65"/>
    </row>
    <row r="26" ht="22.5" customHeight="1">
      <c r="A26" s="63">
        <v>46022.0</v>
      </c>
      <c r="B26" s="47">
        <v>402177.0</v>
      </c>
      <c r="C26" s="36">
        <v>134899.0</v>
      </c>
      <c r="D26" s="69" t="s">
        <v>267</v>
      </c>
      <c r="E26" s="39" t="s">
        <v>268</v>
      </c>
      <c r="I26" s="65"/>
    </row>
    <row r="27" ht="22.5" customHeight="1">
      <c r="A27" s="63">
        <v>45814.0</v>
      </c>
      <c r="B27" s="47">
        <v>686215.0</v>
      </c>
      <c r="C27" s="47">
        <v>193961.0</v>
      </c>
      <c r="D27" s="69" t="s">
        <v>269</v>
      </c>
      <c r="E27" s="39" t="s">
        <v>270</v>
      </c>
      <c r="G27" s="65"/>
      <c r="H27" s="65"/>
    </row>
    <row r="28" ht="22.5" customHeight="1">
      <c r="A28" s="63">
        <v>45815.0</v>
      </c>
      <c r="B28" s="36">
        <v>472098.0</v>
      </c>
      <c r="C28" s="47">
        <v>155739.0</v>
      </c>
      <c r="D28" s="69" t="s">
        <v>271</v>
      </c>
      <c r="E28" s="39" t="s">
        <v>270</v>
      </c>
      <c r="H28" s="65"/>
      <c r="I28" s="70"/>
    </row>
    <row r="29" ht="22.5" customHeight="1">
      <c r="A29" s="63">
        <v>45919.0</v>
      </c>
      <c r="B29" s="36">
        <v>764647.0</v>
      </c>
      <c r="C29" s="47">
        <v>214756.0</v>
      </c>
      <c r="D29" s="69" t="s">
        <v>272</v>
      </c>
      <c r="E29" s="39" t="s">
        <v>273</v>
      </c>
    </row>
    <row r="30" ht="22.5" customHeight="1">
      <c r="A30" s="63">
        <v>45920.0</v>
      </c>
      <c r="B30" s="47">
        <v>513924.0</v>
      </c>
      <c r="C30" s="47">
        <v>176308.0</v>
      </c>
      <c r="D30" s="69" t="s">
        <v>274</v>
      </c>
      <c r="E30" s="39" t="s">
        <v>273</v>
      </c>
    </row>
    <row r="31" ht="22.5" customHeight="1">
      <c r="A31" s="63">
        <v>45921.0</v>
      </c>
      <c r="B31" s="47">
        <v>437404.0</v>
      </c>
      <c r="C31" s="47">
        <v>149077.0</v>
      </c>
      <c r="D31" s="69" t="s">
        <v>275</v>
      </c>
      <c r="E31" s="39" t="s">
        <v>273</v>
      </c>
    </row>
    <row r="32" ht="22.5" customHeight="1">
      <c r="A32" s="71" t="s">
        <v>29</v>
      </c>
      <c r="B32" s="72">
        <f>SUM(Free_Fare_Days[Estimated Bus Ridership])</f>
        <v>18476885</v>
      </c>
      <c r="C32" s="72">
        <f>SUM(Free_Fare_Days[Estimated Rail Ridership])</f>
        <v>5124356</v>
      </c>
      <c r="D32" s="73"/>
      <c r="E32" s="73"/>
    </row>
    <row r="33">
      <c r="A33" s="74"/>
    </row>
    <row r="34">
      <c r="A34" s="74"/>
    </row>
    <row r="35">
      <c r="A35" s="74"/>
    </row>
    <row r="36">
      <c r="A36" s="74"/>
    </row>
    <row r="37">
      <c r="A37" s="74"/>
    </row>
    <row r="38">
      <c r="A38" s="74"/>
    </row>
    <row r="39">
      <c r="A39" s="74"/>
    </row>
    <row r="40">
      <c r="A40" s="74"/>
    </row>
  </sheetData>
  <dataValidations>
    <dataValidation type="custom" allowBlank="1" showDropDown="1" sqref="A3:A31">
      <formula1>OR(NOT(ISERROR(DATEVALUE(A3))), AND(ISNUMBER(A3), LEFT(CELL("format", A3))="D"))</formula1>
    </dataValidation>
    <dataValidation type="custom" allowBlank="1" showDropDown="1" sqref="B3:C31">
      <formula1>AND(ISNUMBER(B3),(NOT(OR(NOT(ISERROR(DATEVALUE(B3))), AND(ISNUMBER(B3), LEFT(CELL("format", B3))="D")))))</formula1>
    </dataValidation>
  </dataValidations>
  <hyperlinks>
    <hyperlink r:id="rId1" ref="G10"/>
    <hyperlink r:id="rId2" ref="G11"/>
    <hyperlink r:id="rId3" ref="G12"/>
    <hyperlink r:id="rId4" ref="G13"/>
  </hyperlinks>
  <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276</v>
      </c>
      <c r="B1" s="54" t="s">
        <v>277</v>
      </c>
      <c r="D1" s="75"/>
    </row>
    <row r="2">
      <c r="A2" s="54">
        <v>2.0</v>
      </c>
      <c r="B2" s="54">
        <v>6166572.0</v>
      </c>
      <c r="D2" s="76"/>
    </row>
    <row r="3">
      <c r="A3" s="54">
        <v>4.0</v>
      </c>
      <c r="B3" s="54">
        <v>7943896.0</v>
      </c>
      <c r="D3" s="76"/>
    </row>
    <row r="4">
      <c r="A4" s="54">
        <v>10.0</v>
      </c>
      <c r="B4" s="54">
        <v>2236005.0</v>
      </c>
      <c r="D4" s="76"/>
    </row>
    <row r="5">
      <c r="A5" s="54">
        <v>14.0</v>
      </c>
      <c r="B5" s="54">
        <v>3766391.0</v>
      </c>
      <c r="D5" s="76"/>
    </row>
    <row r="6">
      <c r="A6" s="54">
        <v>16.0</v>
      </c>
      <c r="B6" s="54">
        <v>6406634.0</v>
      </c>
      <c r="D6" s="76"/>
    </row>
    <row r="7">
      <c r="A7" s="54">
        <v>18.0</v>
      </c>
      <c r="B7" s="54">
        <v>6508534.0</v>
      </c>
      <c r="D7" s="76"/>
    </row>
    <row r="8">
      <c r="A8" s="54">
        <v>20.0</v>
      </c>
      <c r="B8" s="54">
        <v>2862204.0</v>
      </c>
      <c r="D8" s="76"/>
    </row>
    <row r="9">
      <c r="A9" s="54">
        <v>28.0</v>
      </c>
      <c r="B9" s="54">
        <v>3331543.0</v>
      </c>
      <c r="D9" s="76"/>
    </row>
    <row r="10">
      <c r="A10" s="54">
        <v>30.0</v>
      </c>
      <c r="B10" s="54">
        <v>2660591.0</v>
      </c>
      <c r="D10" s="76"/>
    </row>
    <row r="11">
      <c r="A11" s="54">
        <v>33.0</v>
      </c>
      <c r="B11" s="54">
        <v>5437771.0</v>
      </c>
      <c r="D11" s="76"/>
    </row>
    <row r="12">
      <c r="A12" s="54">
        <v>35.0</v>
      </c>
      <c r="B12" s="54">
        <v>1607672.0</v>
      </c>
      <c r="D12" s="76"/>
    </row>
    <row r="13">
      <c r="A13" s="54">
        <v>40.0</v>
      </c>
      <c r="B13" s="54">
        <v>4328513.0</v>
      </c>
      <c r="D13" s="76"/>
    </row>
    <row r="14">
      <c r="A14" s="54">
        <v>45.0</v>
      </c>
      <c r="B14" s="54">
        <v>4179859.0</v>
      </c>
      <c r="D14" s="76"/>
    </row>
    <row r="15">
      <c r="A15" s="54">
        <v>51.0</v>
      </c>
      <c r="B15" s="54">
        <v>5703856.0</v>
      </c>
      <c r="D15" s="76"/>
    </row>
    <row r="16">
      <c r="A16" s="54">
        <v>53.0</v>
      </c>
      <c r="B16" s="54">
        <v>3635071.0</v>
      </c>
      <c r="D16" s="76"/>
    </row>
    <row r="17">
      <c r="A17" s="54">
        <v>55.0</v>
      </c>
      <c r="B17" s="54">
        <v>2374714.0</v>
      </c>
      <c r="D17" s="76"/>
    </row>
    <row r="18">
      <c r="A18" s="54">
        <v>60.0</v>
      </c>
      <c r="B18" s="54">
        <v>4358059.0</v>
      </c>
      <c r="D18" s="76"/>
    </row>
    <row r="19">
      <c r="A19" s="54">
        <v>62.0</v>
      </c>
      <c r="B19" s="54">
        <v>989796.0</v>
      </c>
      <c r="D19" s="76"/>
    </row>
    <row r="20">
      <c r="A20" s="54">
        <v>66.0</v>
      </c>
      <c r="B20" s="54">
        <v>4002195.0</v>
      </c>
      <c r="D20" s="76"/>
    </row>
    <row r="21">
      <c r="A21" s="54">
        <v>70.0</v>
      </c>
      <c r="B21" s="54">
        <v>4882793.0</v>
      </c>
      <c r="D21" s="76"/>
    </row>
    <row r="22">
      <c r="A22" s="54">
        <v>74.0</v>
      </c>
      <c r="B22" s="54">
        <v>91659.0</v>
      </c>
      <c r="D22" s="76"/>
    </row>
    <row r="23">
      <c r="A23" s="54">
        <v>76.0</v>
      </c>
      <c r="B23" s="54">
        <v>2021710.0</v>
      </c>
      <c r="D23" s="76"/>
    </row>
    <row r="24">
      <c r="A24" s="54">
        <v>78.0</v>
      </c>
      <c r="B24" s="54">
        <v>2221565.0</v>
      </c>
      <c r="D24" s="76"/>
    </row>
    <row r="25">
      <c r="A25" s="54">
        <v>81.0</v>
      </c>
      <c r="B25" s="54">
        <v>3155341.0</v>
      </c>
      <c r="D25" s="76"/>
    </row>
    <row r="26">
      <c r="A26" s="54">
        <v>90.0</v>
      </c>
      <c r="B26" s="54">
        <v>1908931.0</v>
      </c>
      <c r="D26" s="76"/>
    </row>
    <row r="27">
      <c r="A27" s="54">
        <v>92.0</v>
      </c>
      <c r="B27" s="54">
        <v>1947636.0</v>
      </c>
      <c r="D27" s="76"/>
    </row>
    <row r="28">
      <c r="A28" s="54">
        <v>93.0</v>
      </c>
      <c r="B28" s="54">
        <v>1191501.0</v>
      </c>
      <c r="D28" s="76"/>
    </row>
    <row r="29">
      <c r="A29" s="54">
        <v>94.0</v>
      </c>
      <c r="B29" s="54">
        <v>2246146.0</v>
      </c>
      <c r="D29" s="76"/>
    </row>
    <row r="30">
      <c r="A30" s="54">
        <v>102.0</v>
      </c>
      <c r="B30" s="54">
        <v>490248.0</v>
      </c>
      <c r="D30" s="76"/>
    </row>
    <row r="31">
      <c r="A31" s="54">
        <v>105.0</v>
      </c>
      <c r="B31" s="54">
        <v>4525785.0</v>
      </c>
      <c r="D31" s="76"/>
    </row>
    <row r="32">
      <c r="A32" s="54">
        <v>106.0</v>
      </c>
      <c r="B32" s="54">
        <v>1119003.0</v>
      </c>
      <c r="D32" s="76"/>
    </row>
    <row r="33">
      <c r="A33" s="54">
        <v>108.0</v>
      </c>
      <c r="B33" s="54">
        <v>4532136.0</v>
      </c>
      <c r="D33" s="76"/>
    </row>
    <row r="34">
      <c r="A34" s="54">
        <v>110.0</v>
      </c>
      <c r="B34" s="54">
        <v>2361663.0</v>
      </c>
      <c r="D34" s="76"/>
    </row>
    <row r="35">
      <c r="A35" s="54">
        <v>111.0</v>
      </c>
      <c r="B35" s="54">
        <v>4553520.0</v>
      </c>
      <c r="D35" s="76"/>
    </row>
    <row r="36">
      <c r="A36" s="54">
        <v>115.0</v>
      </c>
      <c r="B36" s="54">
        <v>3745786.0</v>
      </c>
      <c r="D36" s="76"/>
    </row>
    <row r="37">
      <c r="A37" s="54">
        <v>117.0</v>
      </c>
      <c r="B37" s="54">
        <v>2753973.0</v>
      </c>
      <c r="D37" s="76"/>
    </row>
    <row r="38">
      <c r="A38" s="54">
        <v>120.0</v>
      </c>
      <c r="B38" s="54">
        <v>925704.0</v>
      </c>
      <c r="D38" s="76"/>
    </row>
    <row r="39">
      <c r="A39" s="54">
        <v>125.0</v>
      </c>
      <c r="B39" s="54">
        <v>1586118.0</v>
      </c>
      <c r="D39" s="76"/>
    </row>
    <row r="40">
      <c r="A40" s="54">
        <v>127.0</v>
      </c>
      <c r="B40" s="54">
        <v>592183.0</v>
      </c>
      <c r="D40" s="76"/>
    </row>
    <row r="41">
      <c r="A41" s="54">
        <v>128.0</v>
      </c>
      <c r="B41" s="54">
        <v>336058.0</v>
      </c>
      <c r="D41" s="76"/>
    </row>
    <row r="42">
      <c r="A42" s="54">
        <v>134.0</v>
      </c>
      <c r="B42" s="54">
        <v>233582.0</v>
      </c>
      <c r="D42" s="76"/>
    </row>
    <row r="43">
      <c r="A43" s="54">
        <v>150.0</v>
      </c>
      <c r="B43" s="54">
        <v>1017294.0</v>
      </c>
      <c r="D43" s="76"/>
    </row>
    <row r="44">
      <c r="A44" s="54">
        <v>152.0</v>
      </c>
      <c r="B44" s="54">
        <v>3309208.0</v>
      </c>
      <c r="D44" s="76"/>
    </row>
    <row r="45">
      <c r="A45" s="54">
        <v>154.0</v>
      </c>
      <c r="B45" s="54">
        <v>214834.0</v>
      </c>
      <c r="D45" s="76"/>
    </row>
    <row r="46">
      <c r="A46" s="54">
        <v>155.0</v>
      </c>
      <c r="B46" s="54">
        <v>410023.0</v>
      </c>
      <c r="D46" s="76"/>
    </row>
    <row r="47">
      <c r="A47" s="54">
        <v>158.0</v>
      </c>
      <c r="B47" s="54">
        <v>572873.0</v>
      </c>
      <c r="D47" s="76"/>
    </row>
    <row r="48">
      <c r="A48" s="54">
        <v>161.0</v>
      </c>
      <c r="B48" s="54">
        <v>247573.0</v>
      </c>
      <c r="D48" s="76"/>
    </row>
    <row r="49">
      <c r="A49" s="54">
        <v>162.0</v>
      </c>
      <c r="B49" s="54">
        <v>3147996.0</v>
      </c>
      <c r="D49" s="76"/>
    </row>
    <row r="50">
      <c r="A50" s="54">
        <v>164.0</v>
      </c>
      <c r="B50" s="54">
        <v>1961045.0</v>
      </c>
      <c r="D50" s="76"/>
    </row>
    <row r="51">
      <c r="A51" s="54">
        <v>165.0</v>
      </c>
      <c r="B51" s="54">
        <v>2523872.0</v>
      </c>
      <c r="D51" s="76"/>
    </row>
    <row r="52">
      <c r="A52" s="54">
        <v>166.0</v>
      </c>
      <c r="B52" s="54">
        <v>1914177.0</v>
      </c>
      <c r="D52" s="76"/>
    </row>
    <row r="53">
      <c r="A53" s="54">
        <v>167.0</v>
      </c>
      <c r="B53" s="54">
        <v>458347.0</v>
      </c>
      <c r="D53" s="76"/>
    </row>
    <row r="54">
      <c r="A54" s="54">
        <v>169.0</v>
      </c>
      <c r="B54" s="54">
        <v>641953.0</v>
      </c>
      <c r="D54" s="76"/>
    </row>
    <row r="55">
      <c r="A55" s="54">
        <v>179.0</v>
      </c>
      <c r="B55" s="54">
        <v>308674.0</v>
      </c>
      <c r="D55" s="76"/>
    </row>
    <row r="56">
      <c r="A56" s="54">
        <v>180.0</v>
      </c>
      <c r="B56" s="54">
        <v>2546073.0</v>
      </c>
      <c r="D56" s="76"/>
    </row>
    <row r="57">
      <c r="A57" s="54">
        <v>182.0</v>
      </c>
      <c r="B57" s="54">
        <v>920973.0</v>
      </c>
      <c r="D57" s="76"/>
    </row>
    <row r="58">
      <c r="A58" s="54">
        <v>202.0</v>
      </c>
      <c r="B58" s="54">
        <v>62827.0</v>
      </c>
      <c r="D58" s="76"/>
    </row>
    <row r="59">
      <c r="A59" s="54">
        <v>204.0</v>
      </c>
      <c r="B59" s="54">
        <v>7344834.0</v>
      </c>
      <c r="D59" s="76"/>
    </row>
    <row r="60">
      <c r="A60" s="54">
        <v>205.0</v>
      </c>
      <c r="B60" s="54">
        <v>925864.0</v>
      </c>
      <c r="D60" s="76"/>
    </row>
    <row r="61">
      <c r="A61" s="54">
        <v>206.0</v>
      </c>
      <c r="B61" s="54">
        <v>2918366.0</v>
      </c>
      <c r="D61" s="76"/>
    </row>
    <row r="62">
      <c r="A62" s="54">
        <v>207.0</v>
      </c>
      <c r="B62" s="54">
        <v>8260287.0</v>
      </c>
      <c r="D62" s="76"/>
    </row>
    <row r="63">
      <c r="A63" s="54">
        <v>209.0</v>
      </c>
      <c r="B63" s="54">
        <v>97369.0</v>
      </c>
      <c r="D63" s="76"/>
    </row>
    <row r="64">
      <c r="A64" s="54">
        <v>210.0</v>
      </c>
      <c r="B64" s="54">
        <v>4352659.0</v>
      </c>
      <c r="D64" s="76"/>
    </row>
    <row r="65">
      <c r="A65" s="54">
        <v>211.0</v>
      </c>
      <c r="B65" s="54">
        <v>90549.0</v>
      </c>
      <c r="D65" s="76"/>
    </row>
    <row r="66">
      <c r="A66" s="54">
        <v>212.0</v>
      </c>
      <c r="B66" s="54">
        <v>3002540.0</v>
      </c>
      <c r="D66" s="76"/>
    </row>
    <row r="67">
      <c r="A67" s="54">
        <v>217.0</v>
      </c>
      <c r="B67" s="54">
        <v>3615395.0</v>
      </c>
      <c r="D67" s="76"/>
    </row>
    <row r="68">
      <c r="A68" s="54">
        <v>218.0</v>
      </c>
      <c r="B68" s="54">
        <v>214952.0</v>
      </c>
      <c r="D68" s="76"/>
    </row>
    <row r="69">
      <c r="A69" s="54">
        <v>222.0</v>
      </c>
      <c r="B69" s="54">
        <v>359032.0</v>
      </c>
      <c r="D69" s="76"/>
    </row>
    <row r="70">
      <c r="A70" s="54">
        <v>224.0</v>
      </c>
      <c r="B70" s="54">
        <v>2093238.0</v>
      </c>
      <c r="D70" s="76"/>
    </row>
    <row r="71">
      <c r="A71" s="54">
        <v>230.0</v>
      </c>
      <c r="B71" s="54">
        <v>990036.0</v>
      </c>
      <c r="D71" s="76"/>
    </row>
    <row r="72">
      <c r="A72" s="54">
        <v>232.0</v>
      </c>
      <c r="B72" s="54">
        <v>1472605.0</v>
      </c>
      <c r="D72" s="76"/>
    </row>
    <row r="73">
      <c r="A73" s="54">
        <v>233.0</v>
      </c>
      <c r="B73" s="54">
        <v>4108894.0</v>
      </c>
      <c r="D73" s="76"/>
    </row>
    <row r="74">
      <c r="A74" s="54">
        <v>234.0</v>
      </c>
      <c r="B74" s="54">
        <v>2801386.0</v>
      </c>
      <c r="D74" s="76"/>
    </row>
    <row r="75">
      <c r="A75" s="54">
        <v>236.0</v>
      </c>
      <c r="B75" s="54">
        <v>570520.0</v>
      </c>
      <c r="D75" s="76"/>
    </row>
    <row r="76">
      <c r="A76" s="54">
        <v>237.0</v>
      </c>
      <c r="B76" s="54">
        <v>581197.0</v>
      </c>
      <c r="D76" s="76"/>
    </row>
    <row r="77">
      <c r="A77" s="54">
        <v>240.0</v>
      </c>
      <c r="B77" s="54">
        <v>3823373.0</v>
      </c>
      <c r="D77" s="76"/>
    </row>
    <row r="78">
      <c r="A78" s="54">
        <v>242.0</v>
      </c>
      <c r="B78" s="54">
        <v>580208.0</v>
      </c>
      <c r="D78" s="76"/>
    </row>
    <row r="79">
      <c r="A79" s="54">
        <v>244.0</v>
      </c>
      <c r="B79" s="54">
        <v>546801.0</v>
      </c>
      <c r="D79" s="76"/>
    </row>
    <row r="80">
      <c r="A80" s="54">
        <v>246.0</v>
      </c>
      <c r="B80" s="54">
        <v>1045126.0</v>
      </c>
      <c r="D80" s="76"/>
    </row>
    <row r="81">
      <c r="A81" s="54">
        <v>251.0</v>
      </c>
      <c r="B81" s="54">
        <v>4330346.0</v>
      </c>
      <c r="D81" s="76"/>
    </row>
    <row r="82">
      <c r="A82" s="54">
        <v>258.0</v>
      </c>
      <c r="B82" s="54">
        <v>658707.0</v>
      </c>
      <c r="D82" s="76"/>
    </row>
    <row r="83">
      <c r="A83" s="54">
        <v>260.0</v>
      </c>
      <c r="B83" s="54">
        <v>3340447.0</v>
      </c>
      <c r="D83" s="76"/>
    </row>
    <row r="84">
      <c r="A84" s="54">
        <v>265.0</v>
      </c>
      <c r="B84" s="54">
        <v>374328.0</v>
      </c>
      <c r="D84" s="76"/>
    </row>
    <row r="85">
      <c r="A85" s="54">
        <v>266.0</v>
      </c>
      <c r="B85" s="54">
        <v>1777446.0</v>
      </c>
      <c r="D85" s="76"/>
    </row>
    <row r="86">
      <c r="A86" s="54">
        <v>267.0</v>
      </c>
      <c r="B86" s="54">
        <v>552877.0</v>
      </c>
      <c r="D86" s="76"/>
    </row>
    <row r="87">
      <c r="A87" s="54">
        <v>268.0</v>
      </c>
      <c r="B87" s="54">
        <v>233229.0</v>
      </c>
      <c r="D87" s="76"/>
    </row>
    <row r="88">
      <c r="A88" s="54">
        <v>287.0</v>
      </c>
      <c r="B88" s="54">
        <v>273866.0</v>
      </c>
      <c r="D88" s="76"/>
    </row>
    <row r="89">
      <c r="A89" s="54">
        <v>294.0</v>
      </c>
      <c r="B89" s="54">
        <v>444154.0</v>
      </c>
      <c r="D89" s="76"/>
    </row>
    <row r="90">
      <c r="A90" s="54">
        <v>296.0</v>
      </c>
      <c r="B90" s="54">
        <v>210390.0</v>
      </c>
      <c r="D90" s="76"/>
    </row>
    <row r="91">
      <c r="A91" s="54">
        <v>344.0</v>
      </c>
      <c r="B91" s="54">
        <v>451887.0</v>
      </c>
      <c r="D91" s="76"/>
    </row>
    <row r="92">
      <c r="A92" s="54">
        <v>460.0</v>
      </c>
      <c r="B92" s="54">
        <v>1416659.0</v>
      </c>
      <c r="D92" s="76"/>
    </row>
    <row r="93">
      <c r="A93" s="54">
        <v>487.0</v>
      </c>
      <c r="B93" s="54">
        <v>408291.0</v>
      </c>
      <c r="D93" s="76"/>
    </row>
    <row r="94">
      <c r="A94" s="54">
        <v>501.0</v>
      </c>
      <c r="B94" s="54">
        <v>434223.0</v>
      </c>
      <c r="D94" s="76"/>
    </row>
    <row r="95">
      <c r="A95" s="54">
        <v>550.0</v>
      </c>
      <c r="B95" s="54">
        <v>112451.0</v>
      </c>
      <c r="D95" s="76"/>
    </row>
    <row r="96">
      <c r="A96" s="54">
        <v>577.0</v>
      </c>
      <c r="B96" s="54">
        <v>234657.0</v>
      </c>
      <c r="D96" s="76"/>
    </row>
    <row r="97">
      <c r="A97" s="54">
        <v>600.0</v>
      </c>
      <c r="B97" s="54">
        <v>66.0</v>
      </c>
      <c r="D97" s="76"/>
    </row>
    <row r="98">
      <c r="A98" s="54">
        <v>601.0</v>
      </c>
      <c r="B98" s="54">
        <v>119845.0</v>
      </c>
      <c r="D98" s="76"/>
    </row>
    <row r="99">
      <c r="A99" s="54">
        <v>602.0</v>
      </c>
      <c r="B99" s="54">
        <v>150179.0</v>
      </c>
      <c r="D99" s="76"/>
    </row>
    <row r="100">
      <c r="A100" s="54">
        <v>603.0</v>
      </c>
      <c r="B100" s="54">
        <v>1239413.0</v>
      </c>
      <c r="D100" s="76"/>
    </row>
    <row r="101">
      <c r="A101" s="54">
        <v>605.0</v>
      </c>
      <c r="B101" s="54">
        <v>720453.0</v>
      </c>
      <c r="D101" s="76"/>
    </row>
    <row r="102">
      <c r="A102" s="54">
        <v>611.0</v>
      </c>
      <c r="B102" s="54">
        <v>409372.0</v>
      </c>
      <c r="D102" s="76"/>
    </row>
    <row r="103">
      <c r="A103" s="54">
        <v>617.0</v>
      </c>
      <c r="B103" s="54">
        <v>200416.0</v>
      </c>
      <c r="D103" s="76"/>
    </row>
    <row r="104">
      <c r="A104" s="54">
        <v>660.0</v>
      </c>
      <c r="B104" s="54">
        <v>201053.0</v>
      </c>
      <c r="D104" s="76"/>
    </row>
    <row r="105">
      <c r="A105" s="54">
        <v>662.0</v>
      </c>
      <c r="B105" s="54">
        <v>461287.0</v>
      </c>
      <c r="D105" s="76"/>
    </row>
    <row r="106">
      <c r="A106" s="54">
        <v>665.0</v>
      </c>
      <c r="B106" s="54">
        <v>225756.0</v>
      </c>
      <c r="D106" s="76"/>
    </row>
    <row r="107">
      <c r="A107" s="54">
        <v>690.0</v>
      </c>
      <c r="B107" s="54">
        <v>345321.0</v>
      </c>
      <c r="D107" s="76"/>
    </row>
    <row r="108">
      <c r="A108" s="54">
        <v>720.0</v>
      </c>
      <c r="B108" s="54">
        <v>6233186.0</v>
      </c>
      <c r="D108" s="76"/>
    </row>
    <row r="109">
      <c r="A109" s="54">
        <v>754.0</v>
      </c>
      <c r="B109" s="54">
        <v>4254701.0</v>
      </c>
      <c r="D109" s="76"/>
    </row>
    <row r="110">
      <c r="A110" s="54">
        <v>761.0</v>
      </c>
      <c r="B110" s="54">
        <v>2135893.0</v>
      </c>
      <c r="D110" s="76"/>
    </row>
    <row r="111">
      <c r="A111" s="54">
        <v>857.0</v>
      </c>
      <c r="B111" s="54">
        <v>146352.0</v>
      </c>
      <c r="D111" s="75"/>
    </row>
    <row r="112">
      <c r="A112" s="54" t="s">
        <v>13</v>
      </c>
      <c r="B112" s="54">
        <v>4023007.0</v>
      </c>
      <c r="D112" s="75"/>
    </row>
    <row r="113">
      <c r="A113" s="54" t="s">
        <v>40</v>
      </c>
      <c r="B113" s="54">
        <v>4847233.0</v>
      </c>
      <c r="D113" s="75"/>
    </row>
    <row r="114">
      <c r="A114" s="54" t="s">
        <v>29</v>
      </c>
      <c r="B114" s="13">
        <f>SUM(B2:B113)</f>
        <v>236943381</v>
      </c>
      <c r="D114" s="75"/>
    </row>
    <row r="115">
      <c r="D115" s="75"/>
    </row>
    <row r="116">
      <c r="D116" s="75"/>
    </row>
    <row r="117">
      <c r="D117" s="75"/>
    </row>
    <row r="118">
      <c r="D118" s="75"/>
    </row>
    <row r="119">
      <c r="D119" s="75"/>
    </row>
    <row r="120">
      <c r="D120" s="75"/>
    </row>
    <row r="121">
      <c r="D121" s="75"/>
    </row>
    <row r="122">
      <c r="D122" s="75"/>
    </row>
    <row r="123">
      <c r="D123" s="75"/>
    </row>
    <row r="124">
      <c r="D124" s="75"/>
    </row>
    <row r="125">
      <c r="D125" s="75"/>
    </row>
    <row r="126">
      <c r="D126" s="75"/>
    </row>
    <row r="127">
      <c r="D127" s="75"/>
    </row>
    <row r="128">
      <c r="D128" s="75"/>
    </row>
    <row r="129">
      <c r="D129" s="75"/>
    </row>
    <row r="130">
      <c r="D130" s="75"/>
    </row>
    <row r="131">
      <c r="D131" s="75"/>
    </row>
    <row r="132">
      <c r="D132" s="75"/>
    </row>
    <row r="133">
      <c r="D133" s="75"/>
    </row>
    <row r="134">
      <c r="D134" s="75"/>
    </row>
    <row r="135">
      <c r="D135" s="75"/>
    </row>
    <row r="136">
      <c r="D136" s="75"/>
    </row>
    <row r="137">
      <c r="D137" s="75"/>
    </row>
    <row r="138">
      <c r="D138" s="75"/>
    </row>
    <row r="139">
      <c r="D139" s="75"/>
    </row>
    <row r="140">
      <c r="D140" s="75"/>
    </row>
    <row r="141">
      <c r="D141" s="75"/>
    </row>
    <row r="142">
      <c r="D142" s="75"/>
    </row>
    <row r="143">
      <c r="D143" s="75"/>
    </row>
    <row r="144">
      <c r="D144" s="75"/>
    </row>
    <row r="145">
      <c r="D145" s="75"/>
    </row>
    <row r="146">
      <c r="D146" s="75"/>
    </row>
    <row r="147">
      <c r="D147" s="75"/>
    </row>
    <row r="148">
      <c r="D148" s="75"/>
    </row>
    <row r="149">
      <c r="D149" s="75"/>
    </row>
    <row r="150">
      <c r="D150" s="75"/>
    </row>
    <row r="151">
      <c r="D151" s="75"/>
    </row>
    <row r="152">
      <c r="D152" s="75"/>
    </row>
    <row r="153">
      <c r="D153" s="75"/>
    </row>
    <row r="154">
      <c r="D154" s="75"/>
    </row>
    <row r="155">
      <c r="D155" s="75"/>
    </row>
    <row r="156">
      <c r="D156" s="75"/>
    </row>
    <row r="157">
      <c r="D157" s="75"/>
    </row>
    <row r="158">
      <c r="D158" s="75"/>
    </row>
    <row r="159">
      <c r="D159" s="75"/>
    </row>
    <row r="160">
      <c r="D160" s="75"/>
    </row>
    <row r="161">
      <c r="D161" s="75"/>
    </row>
    <row r="162">
      <c r="D162" s="75"/>
    </row>
    <row r="163">
      <c r="D163" s="75"/>
    </row>
    <row r="164">
      <c r="D164" s="75"/>
    </row>
    <row r="165">
      <c r="D165" s="75"/>
    </row>
    <row r="166">
      <c r="D166" s="75"/>
    </row>
    <row r="167">
      <c r="D167" s="75"/>
    </row>
    <row r="168">
      <c r="D168" s="75"/>
    </row>
    <row r="169">
      <c r="D169" s="75"/>
    </row>
    <row r="170">
      <c r="D170" s="75"/>
    </row>
    <row r="171">
      <c r="D171" s="75"/>
    </row>
    <row r="172">
      <c r="D172" s="75"/>
    </row>
    <row r="173">
      <c r="D173" s="75"/>
    </row>
    <row r="174">
      <c r="D174" s="75"/>
    </row>
    <row r="175">
      <c r="D175" s="75"/>
    </row>
    <row r="176">
      <c r="D176" s="75"/>
    </row>
    <row r="177">
      <c r="D177" s="75"/>
    </row>
    <row r="178">
      <c r="D178" s="75"/>
    </row>
    <row r="179">
      <c r="D179" s="75"/>
    </row>
    <row r="180">
      <c r="D180" s="75"/>
    </row>
    <row r="181">
      <c r="D181" s="75"/>
    </row>
    <row r="182">
      <c r="D182" s="75"/>
    </row>
    <row r="183">
      <c r="D183" s="75"/>
    </row>
    <row r="184">
      <c r="D184" s="75"/>
    </row>
    <row r="185">
      <c r="D185" s="75"/>
    </row>
    <row r="186">
      <c r="D186" s="75"/>
    </row>
    <row r="187">
      <c r="D187" s="75"/>
    </row>
    <row r="188">
      <c r="D188" s="75"/>
    </row>
    <row r="189">
      <c r="D189" s="75"/>
    </row>
    <row r="190">
      <c r="D190" s="75"/>
    </row>
    <row r="191">
      <c r="D191" s="75"/>
    </row>
    <row r="192">
      <c r="D192" s="75"/>
    </row>
    <row r="193">
      <c r="D193" s="75"/>
    </row>
    <row r="194">
      <c r="D194" s="75"/>
    </row>
    <row r="195">
      <c r="D195" s="75"/>
    </row>
    <row r="196">
      <c r="D196" s="75"/>
    </row>
    <row r="197">
      <c r="D197" s="75"/>
    </row>
    <row r="198">
      <c r="D198" s="75"/>
    </row>
    <row r="199">
      <c r="D199" s="75"/>
    </row>
    <row r="200">
      <c r="D200" s="75"/>
    </row>
    <row r="201">
      <c r="D201" s="75"/>
    </row>
    <row r="202">
      <c r="D202" s="75"/>
    </row>
    <row r="203">
      <c r="D203" s="75"/>
    </row>
    <row r="204">
      <c r="D204" s="75"/>
    </row>
    <row r="205">
      <c r="D205" s="75"/>
    </row>
    <row r="206">
      <c r="D206" s="75"/>
    </row>
    <row r="207">
      <c r="D207" s="75"/>
    </row>
    <row r="208">
      <c r="D208" s="75"/>
    </row>
    <row r="209">
      <c r="D209" s="75"/>
    </row>
    <row r="210">
      <c r="D210" s="75"/>
    </row>
    <row r="211">
      <c r="D211" s="75"/>
    </row>
    <row r="212">
      <c r="D212" s="75"/>
    </row>
    <row r="213">
      <c r="D213" s="75"/>
    </row>
    <row r="214">
      <c r="D214" s="75"/>
    </row>
    <row r="215">
      <c r="D215" s="75"/>
    </row>
    <row r="216">
      <c r="D216" s="75"/>
    </row>
    <row r="217">
      <c r="D217" s="75"/>
    </row>
    <row r="218">
      <c r="D218" s="75"/>
    </row>
    <row r="219">
      <c r="D219" s="75"/>
    </row>
    <row r="220">
      <c r="D220" s="75"/>
    </row>
    <row r="221">
      <c r="D221" s="75"/>
    </row>
    <row r="222">
      <c r="D222" s="75"/>
    </row>
    <row r="223">
      <c r="D223" s="75"/>
    </row>
    <row r="224">
      <c r="D224" s="75"/>
    </row>
    <row r="225">
      <c r="D225" s="75"/>
    </row>
    <row r="226">
      <c r="D226" s="75"/>
    </row>
    <row r="227">
      <c r="D227" s="75"/>
    </row>
    <row r="228">
      <c r="D228" s="75"/>
    </row>
    <row r="229">
      <c r="D229" s="75"/>
    </row>
    <row r="230">
      <c r="D230" s="75"/>
    </row>
    <row r="231">
      <c r="D231" s="75"/>
    </row>
    <row r="232">
      <c r="D232" s="75"/>
    </row>
    <row r="233">
      <c r="D233" s="75"/>
    </row>
    <row r="234">
      <c r="D234" s="75"/>
    </row>
    <row r="235">
      <c r="D235" s="75"/>
    </row>
    <row r="236">
      <c r="D236" s="75"/>
    </row>
    <row r="237">
      <c r="D237" s="75"/>
    </row>
    <row r="238">
      <c r="D238" s="75"/>
    </row>
    <row r="239">
      <c r="D239" s="75"/>
    </row>
    <row r="240">
      <c r="D240" s="75"/>
    </row>
    <row r="241">
      <c r="D241" s="75"/>
    </row>
    <row r="242">
      <c r="D242" s="75"/>
    </row>
    <row r="243">
      <c r="D243" s="75"/>
    </row>
    <row r="244">
      <c r="D244" s="75"/>
    </row>
    <row r="245">
      <c r="D245" s="75"/>
    </row>
    <row r="246">
      <c r="D246" s="75"/>
    </row>
    <row r="247">
      <c r="D247" s="75"/>
    </row>
    <row r="248">
      <c r="D248" s="75"/>
    </row>
    <row r="249">
      <c r="D249" s="75"/>
    </row>
    <row r="250">
      <c r="D250" s="75"/>
    </row>
    <row r="251">
      <c r="D251" s="75"/>
    </row>
    <row r="252">
      <c r="D252" s="75"/>
    </row>
    <row r="253">
      <c r="D253" s="75"/>
    </row>
    <row r="254">
      <c r="D254" s="75"/>
    </row>
    <row r="255">
      <c r="D255" s="75"/>
    </row>
    <row r="256">
      <c r="D256" s="75"/>
    </row>
    <row r="257">
      <c r="D257" s="75"/>
    </row>
    <row r="258">
      <c r="D258" s="75"/>
    </row>
    <row r="259">
      <c r="D259" s="75"/>
    </row>
    <row r="260">
      <c r="D260" s="75"/>
    </row>
    <row r="261">
      <c r="D261" s="75"/>
    </row>
    <row r="262">
      <c r="D262" s="75"/>
    </row>
    <row r="263">
      <c r="D263" s="75"/>
    </row>
    <row r="264">
      <c r="D264" s="75"/>
    </row>
    <row r="265">
      <c r="D265" s="75"/>
    </row>
    <row r="266">
      <c r="D266" s="75"/>
    </row>
    <row r="267">
      <c r="D267" s="75"/>
    </row>
    <row r="268">
      <c r="D268" s="75"/>
    </row>
    <row r="269">
      <c r="D269" s="75"/>
    </row>
    <row r="270">
      <c r="D270" s="75"/>
    </row>
    <row r="271">
      <c r="D271" s="75"/>
    </row>
    <row r="272">
      <c r="D272" s="75"/>
    </row>
    <row r="273">
      <c r="D273" s="75"/>
    </row>
    <row r="274">
      <c r="D274" s="75"/>
    </row>
    <row r="275">
      <c r="D275" s="75"/>
    </row>
    <row r="276">
      <c r="D276" s="75"/>
    </row>
    <row r="277">
      <c r="D277" s="75"/>
    </row>
    <row r="278">
      <c r="D278" s="75"/>
    </row>
    <row r="279">
      <c r="D279" s="75"/>
    </row>
    <row r="280">
      <c r="D280" s="75"/>
    </row>
    <row r="281">
      <c r="D281" s="75"/>
    </row>
    <row r="282">
      <c r="D282" s="75"/>
    </row>
    <row r="283">
      <c r="D283" s="75"/>
    </row>
    <row r="284">
      <c r="D284" s="75"/>
    </row>
    <row r="285">
      <c r="D285" s="75"/>
    </row>
    <row r="286">
      <c r="D286" s="75"/>
    </row>
    <row r="287">
      <c r="D287" s="75"/>
    </row>
    <row r="288">
      <c r="D288" s="75"/>
    </row>
    <row r="289">
      <c r="D289" s="75"/>
    </row>
    <row r="290">
      <c r="D290" s="75"/>
    </row>
    <row r="291">
      <c r="D291" s="75"/>
    </row>
    <row r="292">
      <c r="D292" s="75"/>
    </row>
    <row r="293">
      <c r="D293" s="75"/>
    </row>
    <row r="294">
      <c r="D294" s="75"/>
    </row>
    <row r="295">
      <c r="D295" s="75"/>
    </row>
    <row r="296">
      <c r="D296" s="75"/>
    </row>
    <row r="297">
      <c r="D297" s="75"/>
    </row>
    <row r="298">
      <c r="D298" s="75"/>
    </row>
    <row r="299">
      <c r="D299" s="75"/>
    </row>
    <row r="300">
      <c r="D300" s="75"/>
    </row>
    <row r="301">
      <c r="D301" s="75"/>
    </row>
    <row r="302">
      <c r="D302" s="75"/>
    </row>
    <row r="303">
      <c r="D303" s="75"/>
    </row>
    <row r="304">
      <c r="D304" s="75"/>
    </row>
    <row r="305">
      <c r="D305" s="75"/>
    </row>
    <row r="306">
      <c r="D306" s="75"/>
    </row>
    <row r="307">
      <c r="D307" s="75"/>
    </row>
    <row r="308">
      <c r="D308" s="75"/>
    </row>
    <row r="309">
      <c r="D309" s="75"/>
    </row>
    <row r="310">
      <c r="D310" s="75"/>
    </row>
    <row r="311">
      <c r="D311" s="75"/>
    </row>
    <row r="312">
      <c r="D312" s="75"/>
    </row>
    <row r="313">
      <c r="D313" s="75"/>
    </row>
    <row r="314">
      <c r="D314" s="75"/>
    </row>
    <row r="315">
      <c r="D315" s="75"/>
    </row>
    <row r="316">
      <c r="D316" s="75"/>
    </row>
    <row r="317">
      <c r="D317" s="75"/>
    </row>
    <row r="318">
      <c r="D318" s="75"/>
    </row>
    <row r="319">
      <c r="D319" s="75"/>
    </row>
    <row r="320">
      <c r="D320" s="75"/>
    </row>
    <row r="321">
      <c r="D321" s="75"/>
    </row>
    <row r="322">
      <c r="D322" s="75"/>
    </row>
    <row r="323">
      <c r="D323" s="75"/>
    </row>
    <row r="324">
      <c r="D324" s="75"/>
    </row>
    <row r="325">
      <c r="D325" s="75"/>
    </row>
    <row r="326">
      <c r="D326" s="75"/>
    </row>
    <row r="327">
      <c r="D327" s="75"/>
    </row>
    <row r="328">
      <c r="D328" s="75"/>
    </row>
    <row r="329">
      <c r="D329" s="75"/>
    </row>
    <row r="330">
      <c r="D330" s="75"/>
    </row>
    <row r="331">
      <c r="D331" s="75"/>
    </row>
    <row r="332">
      <c r="D332" s="75"/>
    </row>
    <row r="333">
      <c r="D333" s="75"/>
    </row>
    <row r="334">
      <c r="D334" s="75"/>
    </row>
    <row r="335">
      <c r="D335" s="75"/>
    </row>
    <row r="336">
      <c r="D336" s="75"/>
    </row>
    <row r="337">
      <c r="D337" s="75"/>
    </row>
    <row r="338">
      <c r="D338" s="75"/>
    </row>
    <row r="339">
      <c r="D339" s="75"/>
    </row>
    <row r="340">
      <c r="D340" s="75"/>
    </row>
    <row r="341">
      <c r="D341" s="75"/>
    </row>
    <row r="342">
      <c r="D342" s="75"/>
    </row>
    <row r="343">
      <c r="D343" s="75"/>
    </row>
    <row r="344">
      <c r="D344" s="75"/>
    </row>
    <row r="345">
      <c r="D345" s="75"/>
    </row>
    <row r="346">
      <c r="D346" s="75"/>
    </row>
    <row r="347">
      <c r="D347" s="75"/>
    </row>
    <row r="348">
      <c r="D348" s="75"/>
    </row>
    <row r="349">
      <c r="D349" s="75"/>
    </row>
    <row r="350">
      <c r="D350" s="75"/>
    </row>
    <row r="351">
      <c r="D351" s="75"/>
    </row>
    <row r="352">
      <c r="D352" s="75"/>
    </row>
    <row r="353">
      <c r="D353" s="75"/>
    </row>
    <row r="354">
      <c r="D354" s="75"/>
    </row>
    <row r="355">
      <c r="D355" s="75"/>
    </row>
    <row r="356">
      <c r="D356" s="75"/>
    </row>
    <row r="357">
      <c r="D357" s="75"/>
    </row>
    <row r="358">
      <c r="D358" s="75"/>
    </row>
    <row r="359">
      <c r="D359" s="75"/>
    </row>
    <row r="360">
      <c r="D360" s="75"/>
    </row>
    <row r="361">
      <c r="D361" s="75"/>
    </row>
    <row r="362">
      <c r="D362" s="75"/>
    </row>
    <row r="363">
      <c r="D363" s="75"/>
    </row>
    <row r="364">
      <c r="D364" s="75"/>
    </row>
    <row r="365">
      <c r="D365" s="75"/>
    </row>
    <row r="366">
      <c r="D366" s="75"/>
    </row>
    <row r="367">
      <c r="D367" s="75"/>
    </row>
    <row r="368">
      <c r="D368" s="75"/>
    </row>
    <row r="369">
      <c r="D369" s="75"/>
    </row>
    <row r="370">
      <c r="D370" s="75"/>
    </row>
    <row r="371">
      <c r="D371" s="75"/>
    </row>
    <row r="372">
      <c r="D372" s="75"/>
    </row>
    <row r="373">
      <c r="D373" s="75"/>
    </row>
    <row r="374">
      <c r="D374" s="75"/>
    </row>
    <row r="375">
      <c r="D375" s="75"/>
    </row>
    <row r="376">
      <c r="D376" s="75"/>
    </row>
    <row r="377">
      <c r="D377" s="75"/>
    </row>
    <row r="378">
      <c r="D378" s="75"/>
    </row>
    <row r="379">
      <c r="D379" s="75"/>
    </row>
    <row r="380">
      <c r="D380" s="75"/>
    </row>
    <row r="381">
      <c r="D381" s="75"/>
    </row>
    <row r="382">
      <c r="D382" s="75"/>
    </row>
    <row r="383">
      <c r="D383" s="75"/>
    </row>
    <row r="384">
      <c r="D384" s="75"/>
    </row>
    <row r="385">
      <c r="D385" s="75"/>
    </row>
    <row r="386">
      <c r="D386" s="75"/>
    </row>
    <row r="387">
      <c r="D387" s="75"/>
    </row>
    <row r="388">
      <c r="D388" s="75"/>
    </row>
    <row r="389">
      <c r="D389" s="75"/>
    </row>
    <row r="390">
      <c r="D390" s="75"/>
    </row>
    <row r="391">
      <c r="D391" s="75"/>
    </row>
    <row r="392">
      <c r="D392" s="75"/>
    </row>
    <row r="393">
      <c r="D393" s="75"/>
    </row>
    <row r="394">
      <c r="D394" s="75"/>
    </row>
    <row r="395">
      <c r="D395" s="75"/>
    </row>
    <row r="396">
      <c r="D396" s="75"/>
    </row>
    <row r="397">
      <c r="D397" s="75"/>
    </row>
    <row r="398">
      <c r="D398" s="75"/>
    </row>
    <row r="399">
      <c r="D399" s="75"/>
    </row>
    <row r="400">
      <c r="D400" s="75"/>
    </row>
    <row r="401">
      <c r="D401" s="75"/>
    </row>
    <row r="402">
      <c r="D402" s="75"/>
    </row>
    <row r="403">
      <c r="D403" s="75"/>
    </row>
    <row r="404">
      <c r="D404" s="75"/>
    </row>
    <row r="405">
      <c r="D405" s="75"/>
    </row>
    <row r="406">
      <c r="D406" s="75"/>
    </row>
    <row r="407">
      <c r="D407" s="75"/>
    </row>
    <row r="408">
      <c r="D408" s="75"/>
    </row>
    <row r="409">
      <c r="D409" s="75"/>
    </row>
    <row r="410">
      <c r="D410" s="75"/>
    </row>
    <row r="411">
      <c r="D411" s="75"/>
    </row>
    <row r="412">
      <c r="D412" s="75"/>
    </row>
    <row r="413">
      <c r="D413" s="75"/>
    </row>
    <row r="414">
      <c r="D414" s="75"/>
    </row>
    <row r="415">
      <c r="D415" s="75"/>
    </row>
    <row r="416">
      <c r="D416" s="75"/>
    </row>
    <row r="417">
      <c r="D417" s="75"/>
    </row>
    <row r="418">
      <c r="D418" s="75"/>
    </row>
    <row r="419">
      <c r="D419" s="75"/>
    </row>
    <row r="420">
      <c r="D420" s="75"/>
    </row>
    <row r="421">
      <c r="D421" s="75"/>
    </row>
    <row r="422">
      <c r="D422" s="75"/>
    </row>
    <row r="423">
      <c r="D423" s="75"/>
    </row>
    <row r="424">
      <c r="D424" s="75"/>
    </row>
    <row r="425">
      <c r="D425" s="75"/>
    </row>
    <row r="426">
      <c r="D426" s="75"/>
    </row>
    <row r="427">
      <c r="D427" s="75"/>
    </row>
    <row r="428">
      <c r="D428" s="75"/>
    </row>
    <row r="429">
      <c r="D429" s="75"/>
    </row>
    <row r="430">
      <c r="D430" s="75"/>
    </row>
    <row r="431">
      <c r="D431" s="75"/>
    </row>
    <row r="432">
      <c r="D432" s="75"/>
    </row>
    <row r="433">
      <c r="D433" s="75"/>
    </row>
    <row r="434">
      <c r="D434" s="75"/>
    </row>
    <row r="435">
      <c r="D435" s="75"/>
    </row>
    <row r="436">
      <c r="D436" s="75"/>
    </row>
    <row r="437">
      <c r="D437" s="75"/>
    </row>
    <row r="438">
      <c r="D438" s="75"/>
    </row>
    <row r="439">
      <c r="D439" s="75"/>
    </row>
    <row r="440">
      <c r="D440" s="75"/>
    </row>
    <row r="441">
      <c r="D441" s="75"/>
    </row>
    <row r="442">
      <c r="D442" s="75"/>
    </row>
    <row r="443">
      <c r="D443" s="75"/>
    </row>
    <row r="444">
      <c r="D444" s="75"/>
    </row>
    <row r="445">
      <c r="D445" s="75"/>
    </row>
    <row r="446">
      <c r="D446" s="75"/>
    </row>
    <row r="447">
      <c r="D447" s="75"/>
    </row>
    <row r="448">
      <c r="D448" s="75"/>
    </row>
    <row r="449">
      <c r="D449" s="75"/>
    </row>
    <row r="450">
      <c r="D450" s="75"/>
    </row>
    <row r="451">
      <c r="D451" s="75"/>
    </row>
    <row r="452">
      <c r="D452" s="75"/>
    </row>
    <row r="453">
      <c r="D453" s="75"/>
    </row>
    <row r="454">
      <c r="D454" s="75"/>
    </row>
    <row r="455">
      <c r="D455" s="75"/>
    </row>
    <row r="456">
      <c r="D456" s="75"/>
    </row>
    <row r="457">
      <c r="D457" s="75"/>
    </row>
    <row r="458">
      <c r="D458" s="75"/>
    </row>
    <row r="459">
      <c r="D459" s="75"/>
    </row>
    <row r="460">
      <c r="D460" s="75"/>
    </row>
    <row r="461">
      <c r="D461" s="75"/>
    </row>
    <row r="462">
      <c r="D462" s="75"/>
    </row>
    <row r="463">
      <c r="D463" s="75"/>
    </row>
    <row r="464">
      <c r="D464" s="75"/>
    </row>
    <row r="465">
      <c r="D465" s="75"/>
    </row>
    <row r="466">
      <c r="D466" s="75"/>
    </row>
    <row r="467">
      <c r="D467" s="75"/>
    </row>
    <row r="468">
      <c r="D468" s="75"/>
    </row>
    <row r="469">
      <c r="D469" s="75"/>
    </row>
    <row r="470">
      <c r="D470" s="75"/>
    </row>
    <row r="471">
      <c r="D471" s="75"/>
    </row>
    <row r="472">
      <c r="D472" s="75"/>
    </row>
    <row r="473">
      <c r="D473" s="75"/>
    </row>
    <row r="474">
      <c r="D474" s="75"/>
    </row>
    <row r="475">
      <c r="D475" s="75"/>
    </row>
    <row r="476">
      <c r="D476" s="75"/>
    </row>
    <row r="477">
      <c r="D477" s="75"/>
    </row>
    <row r="478">
      <c r="D478" s="75"/>
    </row>
    <row r="479">
      <c r="D479" s="75"/>
    </row>
    <row r="480">
      <c r="D480" s="75"/>
    </row>
    <row r="481">
      <c r="D481" s="75"/>
    </row>
    <row r="482">
      <c r="D482" s="75"/>
    </row>
    <row r="483">
      <c r="D483" s="75"/>
    </row>
    <row r="484">
      <c r="D484" s="75"/>
    </row>
    <row r="485">
      <c r="D485" s="75"/>
    </row>
    <row r="486">
      <c r="D486" s="75"/>
    </row>
    <row r="487">
      <c r="D487" s="75"/>
    </row>
    <row r="488">
      <c r="D488" s="75"/>
    </row>
    <row r="489">
      <c r="D489" s="75"/>
    </row>
    <row r="490">
      <c r="D490" s="75"/>
    </row>
    <row r="491">
      <c r="D491" s="75"/>
    </row>
    <row r="492">
      <c r="D492" s="75"/>
    </row>
    <row r="493">
      <c r="D493" s="75"/>
    </row>
    <row r="494">
      <c r="D494" s="75"/>
    </row>
    <row r="495">
      <c r="D495" s="75"/>
    </row>
    <row r="496">
      <c r="D496" s="75"/>
    </row>
    <row r="497">
      <c r="D497" s="75"/>
    </row>
    <row r="498">
      <c r="D498" s="75"/>
    </row>
    <row r="499">
      <c r="D499" s="75"/>
    </row>
    <row r="500">
      <c r="D500" s="75"/>
    </row>
    <row r="501">
      <c r="D501" s="75"/>
    </row>
    <row r="502">
      <c r="D502" s="75"/>
    </row>
    <row r="503">
      <c r="D503" s="75"/>
    </row>
    <row r="504">
      <c r="D504" s="75"/>
    </row>
    <row r="505">
      <c r="D505" s="75"/>
    </row>
    <row r="506">
      <c r="D506" s="75"/>
    </row>
    <row r="507">
      <c r="D507" s="75"/>
    </row>
    <row r="508">
      <c r="D508" s="75"/>
    </row>
    <row r="509">
      <c r="D509" s="75"/>
    </row>
    <row r="510">
      <c r="D510" s="75"/>
    </row>
    <row r="511">
      <c r="D511" s="75"/>
    </row>
    <row r="512">
      <c r="D512" s="75"/>
    </row>
    <row r="513">
      <c r="D513" s="75"/>
    </row>
    <row r="514">
      <c r="D514" s="75"/>
    </row>
    <row r="515">
      <c r="D515" s="75"/>
    </row>
    <row r="516">
      <c r="D516" s="75"/>
    </row>
    <row r="517">
      <c r="D517" s="75"/>
    </row>
    <row r="518">
      <c r="D518" s="75"/>
    </row>
    <row r="519">
      <c r="D519" s="75"/>
    </row>
    <row r="520">
      <c r="D520" s="75"/>
    </row>
    <row r="521">
      <c r="D521" s="75"/>
    </row>
    <row r="522">
      <c r="D522" s="75"/>
    </row>
    <row r="523">
      <c r="D523" s="75"/>
    </row>
    <row r="524">
      <c r="D524" s="75"/>
    </row>
    <row r="525">
      <c r="D525" s="75"/>
    </row>
    <row r="526">
      <c r="D526" s="75"/>
    </row>
    <row r="527">
      <c r="D527" s="75"/>
    </row>
    <row r="528">
      <c r="D528" s="75"/>
    </row>
    <row r="529">
      <c r="D529" s="75"/>
    </row>
    <row r="530">
      <c r="D530" s="75"/>
    </row>
    <row r="531">
      <c r="D531" s="75"/>
    </row>
    <row r="532">
      <c r="D532" s="75"/>
    </row>
    <row r="533">
      <c r="D533" s="75"/>
    </row>
    <row r="534">
      <c r="D534" s="75"/>
    </row>
    <row r="535">
      <c r="D535" s="75"/>
    </row>
    <row r="536">
      <c r="D536" s="75"/>
    </row>
    <row r="537">
      <c r="D537" s="75"/>
    </row>
    <row r="538">
      <c r="D538" s="75"/>
    </row>
    <row r="539">
      <c r="D539" s="75"/>
    </row>
    <row r="540">
      <c r="D540" s="75"/>
    </row>
    <row r="541">
      <c r="D541" s="75"/>
    </row>
    <row r="542">
      <c r="D542" s="75"/>
    </row>
    <row r="543">
      <c r="D543" s="75"/>
    </row>
    <row r="544">
      <c r="D544" s="75"/>
    </row>
    <row r="545">
      <c r="D545" s="75"/>
    </row>
    <row r="546">
      <c r="D546" s="75"/>
    </row>
    <row r="547">
      <c r="D547" s="75"/>
    </row>
    <row r="548">
      <c r="D548" s="75"/>
    </row>
    <row r="549">
      <c r="D549" s="75"/>
    </row>
    <row r="550">
      <c r="D550" s="75"/>
    </row>
    <row r="551">
      <c r="D551" s="75"/>
    </row>
    <row r="552">
      <c r="D552" s="75"/>
    </row>
    <row r="553">
      <c r="D553" s="75"/>
    </row>
    <row r="554">
      <c r="D554" s="75"/>
    </row>
    <row r="555">
      <c r="D555" s="75"/>
    </row>
    <row r="556">
      <c r="D556" s="75"/>
    </row>
    <row r="557">
      <c r="D557" s="75"/>
    </row>
    <row r="558">
      <c r="D558" s="75"/>
    </row>
    <row r="559">
      <c r="D559" s="75"/>
    </row>
    <row r="560">
      <c r="D560" s="75"/>
    </row>
    <row r="561">
      <c r="D561" s="75"/>
    </row>
    <row r="562">
      <c r="D562" s="75"/>
    </row>
    <row r="563">
      <c r="D563" s="75"/>
    </row>
    <row r="564">
      <c r="D564" s="75"/>
    </row>
    <row r="565">
      <c r="D565" s="75"/>
    </row>
    <row r="566">
      <c r="D566" s="75"/>
    </row>
    <row r="567">
      <c r="D567" s="75"/>
    </row>
    <row r="568">
      <c r="D568" s="75"/>
    </row>
    <row r="569">
      <c r="D569" s="75"/>
    </row>
    <row r="570">
      <c r="D570" s="75"/>
    </row>
    <row r="571">
      <c r="D571" s="75"/>
    </row>
    <row r="572">
      <c r="D572" s="75"/>
    </row>
    <row r="573">
      <c r="D573" s="75"/>
    </row>
    <row r="574">
      <c r="D574" s="75"/>
    </row>
    <row r="575">
      <c r="D575" s="75"/>
    </row>
    <row r="576">
      <c r="D576" s="75"/>
    </row>
    <row r="577">
      <c r="D577" s="75"/>
    </row>
    <row r="578">
      <c r="D578" s="75"/>
    </row>
    <row r="579">
      <c r="D579" s="75"/>
    </row>
    <row r="580">
      <c r="D580" s="75"/>
    </row>
    <row r="581">
      <c r="D581" s="75"/>
    </row>
    <row r="582">
      <c r="D582" s="75"/>
    </row>
    <row r="583">
      <c r="D583" s="75"/>
    </row>
    <row r="584">
      <c r="D584" s="75"/>
    </row>
    <row r="585">
      <c r="D585" s="75"/>
    </row>
    <row r="586">
      <c r="D586" s="75"/>
    </row>
    <row r="587">
      <c r="D587" s="75"/>
    </row>
    <row r="588">
      <c r="D588" s="75"/>
    </row>
    <row r="589">
      <c r="D589" s="75"/>
    </row>
    <row r="590">
      <c r="D590" s="75"/>
    </row>
    <row r="591">
      <c r="D591" s="75"/>
    </row>
    <row r="592">
      <c r="D592" s="75"/>
    </row>
    <row r="593">
      <c r="D593" s="75"/>
    </row>
    <row r="594">
      <c r="D594" s="75"/>
    </row>
    <row r="595">
      <c r="D595" s="75"/>
    </row>
    <row r="596">
      <c r="D596" s="75"/>
    </row>
    <row r="597">
      <c r="D597" s="75"/>
    </row>
    <row r="598">
      <c r="D598" s="75"/>
    </row>
    <row r="599">
      <c r="D599" s="75"/>
    </row>
    <row r="600">
      <c r="D600" s="75"/>
    </row>
    <row r="601">
      <c r="D601" s="75"/>
    </row>
    <row r="602">
      <c r="D602" s="75"/>
    </row>
    <row r="603">
      <c r="D603" s="75"/>
    </row>
    <row r="604">
      <c r="D604" s="75"/>
    </row>
    <row r="605">
      <c r="D605" s="75"/>
    </row>
    <row r="606">
      <c r="D606" s="75"/>
    </row>
    <row r="607">
      <c r="D607" s="75"/>
    </row>
    <row r="608">
      <c r="D608" s="75"/>
    </row>
    <row r="609">
      <c r="D609" s="75"/>
    </row>
    <row r="610">
      <c r="D610" s="75"/>
    </row>
    <row r="611">
      <c r="D611" s="75"/>
    </row>
    <row r="612">
      <c r="D612" s="75"/>
    </row>
    <row r="613">
      <c r="D613" s="75"/>
    </row>
    <row r="614">
      <c r="D614" s="75"/>
    </row>
    <row r="615">
      <c r="D615" s="75"/>
    </row>
    <row r="616">
      <c r="D616" s="75"/>
    </row>
    <row r="617">
      <c r="D617" s="75"/>
    </row>
    <row r="618">
      <c r="D618" s="75"/>
    </row>
    <row r="619">
      <c r="D619" s="75"/>
    </row>
    <row r="620">
      <c r="D620" s="75"/>
    </row>
    <row r="621">
      <c r="D621" s="75"/>
    </row>
    <row r="622">
      <c r="D622" s="75"/>
    </row>
    <row r="623">
      <c r="D623" s="75"/>
    </row>
    <row r="624">
      <c r="D624" s="75"/>
    </row>
    <row r="625">
      <c r="D625" s="75"/>
    </row>
    <row r="626">
      <c r="D626" s="75"/>
    </row>
    <row r="627">
      <c r="D627" s="75"/>
    </row>
    <row r="628">
      <c r="D628" s="75"/>
    </row>
    <row r="629">
      <c r="D629" s="75"/>
    </row>
    <row r="630">
      <c r="D630" s="75"/>
    </row>
    <row r="631">
      <c r="D631" s="75"/>
    </row>
    <row r="632">
      <c r="D632" s="75"/>
    </row>
    <row r="633">
      <c r="D633" s="75"/>
    </row>
    <row r="634">
      <c r="D634" s="75"/>
    </row>
    <row r="635">
      <c r="D635" s="75"/>
    </row>
    <row r="636">
      <c r="D636" s="75"/>
    </row>
    <row r="637">
      <c r="D637" s="75"/>
    </row>
    <row r="638">
      <c r="D638" s="75"/>
    </row>
    <row r="639">
      <c r="D639" s="75"/>
    </row>
    <row r="640">
      <c r="D640" s="75"/>
    </row>
    <row r="641">
      <c r="D641" s="75"/>
    </row>
    <row r="642">
      <c r="D642" s="75"/>
    </row>
    <row r="643">
      <c r="D643" s="75"/>
    </row>
    <row r="644">
      <c r="D644" s="75"/>
    </row>
    <row r="645">
      <c r="D645" s="75"/>
    </row>
    <row r="646">
      <c r="D646" s="75"/>
    </row>
    <row r="647">
      <c r="D647" s="75"/>
    </row>
    <row r="648">
      <c r="D648" s="75"/>
    </row>
    <row r="649">
      <c r="D649" s="75"/>
    </row>
    <row r="650">
      <c r="D650" s="75"/>
    </row>
    <row r="651">
      <c r="D651" s="75"/>
    </row>
    <row r="652">
      <c r="D652" s="75"/>
    </row>
    <row r="653">
      <c r="D653" s="75"/>
    </row>
    <row r="654">
      <c r="D654" s="75"/>
    </row>
    <row r="655">
      <c r="D655" s="75"/>
    </row>
    <row r="656">
      <c r="D656" s="75"/>
    </row>
    <row r="657">
      <c r="D657" s="75"/>
    </row>
    <row r="658">
      <c r="D658" s="75"/>
    </row>
    <row r="659">
      <c r="D659" s="75"/>
    </row>
    <row r="660">
      <c r="D660" s="75"/>
    </row>
    <row r="661">
      <c r="D661" s="75"/>
    </row>
    <row r="662">
      <c r="D662" s="75"/>
    </row>
    <row r="663">
      <c r="D663" s="75"/>
    </row>
    <row r="664">
      <c r="D664" s="75"/>
    </row>
    <row r="665">
      <c r="D665" s="75"/>
    </row>
    <row r="666">
      <c r="D666" s="75"/>
    </row>
    <row r="667">
      <c r="D667" s="75"/>
    </row>
    <row r="668">
      <c r="D668" s="75"/>
    </row>
    <row r="669">
      <c r="D669" s="75"/>
    </row>
    <row r="670">
      <c r="D670" s="75"/>
    </row>
    <row r="671">
      <c r="D671" s="75"/>
    </row>
    <row r="672">
      <c r="D672" s="75"/>
    </row>
    <row r="673">
      <c r="D673" s="75"/>
    </row>
    <row r="674">
      <c r="D674" s="75"/>
    </row>
    <row r="675">
      <c r="D675" s="75"/>
    </row>
    <row r="676">
      <c r="D676" s="75"/>
    </row>
    <row r="677">
      <c r="D677" s="75"/>
    </row>
    <row r="678">
      <c r="D678" s="75"/>
    </row>
    <row r="679">
      <c r="D679" s="75"/>
    </row>
    <row r="680">
      <c r="D680" s="75"/>
    </row>
    <row r="681">
      <c r="D681" s="75"/>
    </row>
    <row r="682">
      <c r="D682" s="75"/>
    </row>
    <row r="683">
      <c r="D683" s="75"/>
    </row>
    <row r="684">
      <c r="D684" s="75"/>
    </row>
    <row r="685">
      <c r="D685" s="75"/>
    </row>
    <row r="686">
      <c r="D686" s="75"/>
    </row>
    <row r="687">
      <c r="D687" s="75"/>
    </row>
    <row r="688">
      <c r="D688" s="75"/>
    </row>
    <row r="689">
      <c r="D689" s="75"/>
    </row>
    <row r="690">
      <c r="D690" s="75"/>
    </row>
    <row r="691">
      <c r="D691" s="75"/>
    </row>
    <row r="692">
      <c r="D692" s="75"/>
    </row>
    <row r="693">
      <c r="D693" s="75"/>
    </row>
    <row r="694">
      <c r="D694" s="75"/>
    </row>
    <row r="695">
      <c r="D695" s="75"/>
    </row>
    <row r="696">
      <c r="D696" s="75"/>
    </row>
    <row r="697">
      <c r="D697" s="75"/>
    </row>
    <row r="698">
      <c r="D698" s="75"/>
    </row>
    <row r="699">
      <c r="D699" s="75"/>
    </row>
    <row r="700">
      <c r="D700" s="75"/>
    </row>
    <row r="701">
      <c r="D701" s="75"/>
    </row>
    <row r="702">
      <c r="D702" s="75"/>
    </row>
    <row r="703">
      <c r="D703" s="75"/>
    </row>
    <row r="704">
      <c r="D704" s="75"/>
    </row>
    <row r="705">
      <c r="D705" s="75"/>
    </row>
    <row r="706">
      <c r="D706" s="75"/>
    </row>
    <row r="707">
      <c r="D707" s="75"/>
    </row>
    <row r="708">
      <c r="D708" s="75"/>
    </row>
    <row r="709">
      <c r="D709" s="75"/>
    </row>
    <row r="710">
      <c r="D710" s="75"/>
    </row>
    <row r="711">
      <c r="D711" s="75"/>
    </row>
    <row r="712">
      <c r="D712" s="75"/>
    </row>
    <row r="713">
      <c r="D713" s="75"/>
    </row>
    <row r="714">
      <c r="D714" s="75"/>
    </row>
    <row r="715">
      <c r="D715" s="75"/>
    </row>
    <row r="716">
      <c r="D716" s="75"/>
    </row>
    <row r="717">
      <c r="D717" s="75"/>
    </row>
    <row r="718">
      <c r="D718" s="75"/>
    </row>
    <row r="719">
      <c r="D719" s="75"/>
    </row>
    <row r="720">
      <c r="D720" s="75"/>
    </row>
    <row r="721">
      <c r="D721" s="75"/>
    </row>
    <row r="722">
      <c r="D722" s="75"/>
    </row>
    <row r="723">
      <c r="D723" s="75"/>
    </row>
    <row r="724">
      <c r="D724" s="75"/>
    </row>
    <row r="725">
      <c r="D725" s="75"/>
    </row>
    <row r="726">
      <c r="D726" s="75"/>
    </row>
    <row r="727">
      <c r="D727" s="75"/>
    </row>
    <row r="728">
      <c r="D728" s="75"/>
    </row>
    <row r="729">
      <c r="D729" s="75"/>
    </row>
    <row r="730">
      <c r="D730" s="75"/>
    </row>
    <row r="731">
      <c r="D731" s="75"/>
    </row>
    <row r="732">
      <c r="D732" s="75"/>
    </row>
    <row r="733">
      <c r="D733" s="75"/>
    </row>
    <row r="734">
      <c r="D734" s="75"/>
    </row>
    <row r="735">
      <c r="D735" s="75"/>
    </row>
    <row r="736">
      <c r="D736" s="75"/>
    </row>
    <row r="737">
      <c r="D737" s="75"/>
    </row>
    <row r="738">
      <c r="D738" s="75"/>
    </row>
    <row r="739">
      <c r="D739" s="75"/>
    </row>
    <row r="740">
      <c r="D740" s="75"/>
    </row>
    <row r="741">
      <c r="D741" s="75"/>
    </row>
    <row r="742">
      <c r="D742" s="75"/>
    </row>
    <row r="743">
      <c r="D743" s="75"/>
    </row>
    <row r="744">
      <c r="D744" s="75"/>
    </row>
    <row r="745">
      <c r="D745" s="75"/>
    </row>
    <row r="746">
      <c r="D746" s="75"/>
    </row>
    <row r="747">
      <c r="D747" s="75"/>
    </row>
    <row r="748">
      <c r="D748" s="75"/>
    </row>
    <row r="749">
      <c r="D749" s="75"/>
    </row>
    <row r="750">
      <c r="D750" s="75"/>
    </row>
    <row r="751">
      <c r="D751" s="75"/>
    </row>
    <row r="752">
      <c r="D752" s="75"/>
    </row>
    <row r="753">
      <c r="D753" s="75"/>
    </row>
    <row r="754">
      <c r="D754" s="75"/>
    </row>
    <row r="755">
      <c r="D755" s="75"/>
    </row>
    <row r="756">
      <c r="D756" s="75"/>
    </row>
    <row r="757">
      <c r="D757" s="75"/>
    </row>
    <row r="758">
      <c r="D758" s="75"/>
    </row>
    <row r="759">
      <c r="D759" s="75"/>
    </row>
    <row r="760">
      <c r="D760" s="75"/>
    </row>
    <row r="761">
      <c r="D761" s="75"/>
    </row>
    <row r="762">
      <c r="D762" s="75"/>
    </row>
    <row r="763">
      <c r="D763" s="75"/>
    </row>
    <row r="764">
      <c r="D764" s="75"/>
    </row>
    <row r="765">
      <c r="D765" s="75"/>
    </row>
    <row r="766">
      <c r="D766" s="75"/>
    </row>
    <row r="767">
      <c r="D767" s="75"/>
    </row>
    <row r="768">
      <c r="D768" s="75"/>
    </row>
    <row r="769">
      <c r="D769" s="75"/>
    </row>
    <row r="770">
      <c r="D770" s="75"/>
    </row>
    <row r="771">
      <c r="D771" s="75"/>
    </row>
    <row r="772">
      <c r="D772" s="75"/>
    </row>
    <row r="773">
      <c r="D773" s="75"/>
    </row>
    <row r="774">
      <c r="D774" s="75"/>
    </row>
    <row r="775">
      <c r="D775" s="75"/>
    </row>
    <row r="776">
      <c r="D776" s="75"/>
    </row>
    <row r="777">
      <c r="D777" s="75"/>
    </row>
    <row r="778">
      <c r="D778" s="75"/>
    </row>
    <row r="779">
      <c r="D779" s="75"/>
    </row>
    <row r="780">
      <c r="D780" s="75"/>
    </row>
    <row r="781">
      <c r="D781" s="75"/>
    </row>
    <row r="782">
      <c r="D782" s="75"/>
    </row>
    <row r="783">
      <c r="D783" s="75"/>
    </row>
    <row r="784">
      <c r="D784" s="75"/>
    </row>
    <row r="785">
      <c r="D785" s="75"/>
    </row>
    <row r="786">
      <c r="D786" s="75"/>
    </row>
    <row r="787">
      <c r="D787" s="75"/>
    </row>
    <row r="788">
      <c r="D788" s="75"/>
    </row>
    <row r="789">
      <c r="D789" s="75"/>
    </row>
    <row r="790">
      <c r="D790" s="75"/>
    </row>
    <row r="791">
      <c r="D791" s="75"/>
    </row>
    <row r="792">
      <c r="D792" s="75"/>
    </row>
    <row r="793">
      <c r="D793" s="75"/>
    </row>
    <row r="794">
      <c r="D794" s="75"/>
    </row>
    <row r="795">
      <c r="D795" s="75"/>
    </row>
    <row r="796">
      <c r="D796" s="75"/>
    </row>
    <row r="797">
      <c r="D797" s="75"/>
    </row>
    <row r="798">
      <c r="D798" s="75"/>
    </row>
    <row r="799">
      <c r="D799" s="75"/>
    </row>
    <row r="800">
      <c r="D800" s="75"/>
    </row>
    <row r="801">
      <c r="D801" s="75"/>
    </row>
    <row r="802">
      <c r="D802" s="75"/>
    </row>
    <row r="803">
      <c r="D803" s="75"/>
    </row>
    <row r="804">
      <c r="D804" s="75"/>
    </row>
    <row r="805">
      <c r="D805" s="75"/>
    </row>
    <row r="806">
      <c r="D806" s="75"/>
    </row>
    <row r="807">
      <c r="D807" s="75"/>
    </row>
    <row r="808">
      <c r="D808" s="75"/>
    </row>
    <row r="809">
      <c r="D809" s="75"/>
    </row>
    <row r="810">
      <c r="D810" s="75"/>
    </row>
    <row r="811">
      <c r="D811" s="75"/>
    </row>
    <row r="812">
      <c r="D812" s="75"/>
    </row>
    <row r="813">
      <c r="D813" s="75"/>
    </row>
    <row r="814">
      <c r="D814" s="75"/>
    </row>
    <row r="815">
      <c r="D815" s="75"/>
    </row>
    <row r="816">
      <c r="D816" s="75"/>
    </row>
    <row r="817">
      <c r="D817" s="75"/>
    </row>
    <row r="818">
      <c r="D818" s="75"/>
    </row>
    <row r="819">
      <c r="D819" s="75"/>
    </row>
    <row r="820">
      <c r="D820" s="75"/>
    </row>
    <row r="821">
      <c r="D821" s="75"/>
    </row>
    <row r="822">
      <c r="D822" s="75"/>
    </row>
    <row r="823">
      <c r="D823" s="75"/>
    </row>
    <row r="824">
      <c r="D824" s="75"/>
    </row>
    <row r="825">
      <c r="D825" s="75"/>
    </row>
    <row r="826">
      <c r="D826" s="75"/>
    </row>
    <row r="827">
      <c r="D827" s="75"/>
    </row>
    <row r="828">
      <c r="D828" s="75"/>
    </row>
    <row r="829">
      <c r="D829" s="75"/>
    </row>
    <row r="830">
      <c r="D830" s="75"/>
    </row>
    <row r="831">
      <c r="D831" s="75"/>
    </row>
    <row r="832">
      <c r="D832" s="75"/>
    </row>
    <row r="833">
      <c r="D833" s="75"/>
    </row>
    <row r="834">
      <c r="D834" s="75"/>
    </row>
    <row r="835">
      <c r="D835" s="75"/>
    </row>
    <row r="836">
      <c r="D836" s="75"/>
    </row>
    <row r="837">
      <c r="D837" s="75"/>
    </row>
    <row r="838">
      <c r="D838" s="75"/>
    </row>
    <row r="839">
      <c r="D839" s="75"/>
    </row>
    <row r="840">
      <c r="D840" s="75"/>
    </row>
    <row r="841">
      <c r="D841" s="75"/>
    </row>
    <row r="842">
      <c r="D842" s="75"/>
    </row>
    <row r="843">
      <c r="D843" s="75"/>
    </row>
    <row r="844">
      <c r="D844" s="75"/>
    </row>
    <row r="845">
      <c r="D845" s="75"/>
    </row>
    <row r="846">
      <c r="D846" s="75"/>
    </row>
    <row r="847">
      <c r="D847" s="75"/>
    </row>
    <row r="848">
      <c r="D848" s="75"/>
    </row>
    <row r="849">
      <c r="D849" s="75"/>
    </row>
    <row r="850">
      <c r="D850" s="75"/>
    </row>
    <row r="851">
      <c r="D851" s="75"/>
    </row>
    <row r="852">
      <c r="D852" s="75"/>
    </row>
    <row r="853">
      <c r="D853" s="75"/>
    </row>
    <row r="854">
      <c r="D854" s="75"/>
    </row>
    <row r="855">
      <c r="D855" s="75"/>
    </row>
    <row r="856">
      <c r="D856" s="75"/>
    </row>
    <row r="857">
      <c r="D857" s="75"/>
    </row>
    <row r="858">
      <c r="D858" s="75"/>
    </row>
    <row r="859">
      <c r="D859" s="75"/>
    </row>
    <row r="860">
      <c r="D860" s="75"/>
    </row>
    <row r="861">
      <c r="D861" s="75"/>
    </row>
    <row r="862">
      <c r="D862" s="75"/>
    </row>
    <row r="863">
      <c r="D863" s="75"/>
    </row>
    <row r="864">
      <c r="D864" s="75"/>
    </row>
    <row r="865">
      <c r="D865" s="75"/>
    </row>
    <row r="866">
      <c r="D866" s="75"/>
    </row>
    <row r="867">
      <c r="D867" s="75"/>
    </row>
    <row r="868">
      <c r="D868" s="75"/>
    </row>
    <row r="869">
      <c r="D869" s="75"/>
    </row>
    <row r="870">
      <c r="D870" s="75"/>
    </row>
    <row r="871">
      <c r="D871" s="75"/>
    </row>
    <row r="872">
      <c r="D872" s="75"/>
    </row>
    <row r="873">
      <c r="D873" s="75"/>
    </row>
    <row r="874">
      <c r="D874" s="75"/>
    </row>
    <row r="875">
      <c r="D875" s="75"/>
    </row>
    <row r="876">
      <c r="D876" s="75"/>
    </row>
    <row r="877">
      <c r="D877" s="75"/>
    </row>
    <row r="878">
      <c r="D878" s="75"/>
    </row>
    <row r="879">
      <c r="D879" s="75"/>
    </row>
    <row r="880">
      <c r="D880" s="75"/>
    </row>
    <row r="881">
      <c r="D881" s="75"/>
    </row>
    <row r="882">
      <c r="D882" s="75"/>
    </row>
    <row r="883">
      <c r="D883" s="75"/>
    </row>
    <row r="884">
      <c r="D884" s="75"/>
    </row>
    <row r="885">
      <c r="D885" s="75"/>
    </row>
    <row r="886">
      <c r="D886" s="75"/>
    </row>
    <row r="887">
      <c r="D887" s="75"/>
    </row>
    <row r="888">
      <c r="D888" s="75"/>
    </row>
    <row r="889">
      <c r="D889" s="75"/>
    </row>
    <row r="890">
      <c r="D890" s="75"/>
    </row>
    <row r="891">
      <c r="D891" s="75"/>
    </row>
    <row r="892">
      <c r="D892" s="75"/>
    </row>
    <row r="893">
      <c r="D893" s="75"/>
    </row>
    <row r="894">
      <c r="D894" s="75"/>
    </row>
    <row r="895">
      <c r="D895" s="75"/>
    </row>
    <row r="896">
      <c r="D896" s="75"/>
    </row>
    <row r="897">
      <c r="D897" s="75"/>
    </row>
    <row r="898">
      <c r="D898" s="75"/>
    </row>
    <row r="899">
      <c r="D899" s="75"/>
    </row>
    <row r="900">
      <c r="D900" s="75"/>
    </row>
    <row r="901">
      <c r="D901" s="75"/>
    </row>
    <row r="902">
      <c r="D902" s="75"/>
    </row>
    <row r="903">
      <c r="D903" s="75"/>
    </row>
    <row r="904">
      <c r="D904" s="75"/>
    </row>
    <row r="905">
      <c r="D905" s="75"/>
    </row>
    <row r="906">
      <c r="D906" s="75"/>
    </row>
    <row r="907">
      <c r="D907" s="75"/>
    </row>
    <row r="908">
      <c r="D908" s="75"/>
    </row>
    <row r="909">
      <c r="D909" s="75"/>
    </row>
    <row r="910">
      <c r="D910" s="75"/>
    </row>
    <row r="911">
      <c r="D911" s="75"/>
    </row>
    <row r="912">
      <c r="D912" s="75"/>
    </row>
    <row r="913">
      <c r="D913" s="75"/>
    </row>
    <row r="914">
      <c r="D914" s="75"/>
    </row>
    <row r="915">
      <c r="D915" s="75"/>
    </row>
    <row r="916">
      <c r="D916" s="75"/>
    </row>
    <row r="917">
      <c r="D917" s="75"/>
    </row>
    <row r="918">
      <c r="D918" s="75"/>
    </row>
    <row r="919">
      <c r="D919" s="75"/>
    </row>
    <row r="920">
      <c r="D920" s="75"/>
    </row>
    <row r="921">
      <c r="D921" s="75"/>
    </row>
    <row r="922">
      <c r="D922" s="75"/>
    </row>
    <row r="923">
      <c r="D923" s="75"/>
    </row>
    <row r="924">
      <c r="D924" s="75"/>
    </row>
    <row r="925">
      <c r="D925" s="75"/>
    </row>
    <row r="926">
      <c r="D926" s="75"/>
    </row>
    <row r="927">
      <c r="D927" s="75"/>
    </row>
    <row r="928">
      <c r="D928" s="75"/>
    </row>
    <row r="929">
      <c r="D929" s="75"/>
    </row>
    <row r="930">
      <c r="D930" s="75"/>
    </row>
    <row r="931">
      <c r="D931" s="75"/>
    </row>
    <row r="932">
      <c r="D932" s="75"/>
    </row>
    <row r="933">
      <c r="D933" s="75"/>
    </row>
    <row r="934">
      <c r="D934" s="75"/>
    </row>
    <row r="935">
      <c r="D935" s="75"/>
    </row>
    <row r="936">
      <c r="D936" s="75"/>
    </row>
    <row r="937">
      <c r="D937" s="75"/>
    </row>
    <row r="938">
      <c r="D938" s="75"/>
    </row>
    <row r="939">
      <c r="D939" s="75"/>
    </row>
    <row r="940">
      <c r="D940" s="75"/>
    </row>
    <row r="941">
      <c r="D941" s="75"/>
    </row>
    <row r="942">
      <c r="D942" s="75"/>
    </row>
    <row r="943">
      <c r="D943" s="75"/>
    </row>
    <row r="944">
      <c r="D944" s="75"/>
    </row>
    <row r="945">
      <c r="D945" s="75"/>
    </row>
    <row r="946">
      <c r="D946" s="75"/>
    </row>
    <row r="947">
      <c r="D947" s="75"/>
    </row>
    <row r="948">
      <c r="D948" s="75"/>
    </row>
    <row r="949">
      <c r="D949" s="75"/>
    </row>
    <row r="950">
      <c r="D950" s="75"/>
    </row>
    <row r="951">
      <c r="D951" s="75"/>
    </row>
    <row r="952">
      <c r="D952" s="75"/>
    </row>
    <row r="953">
      <c r="D953" s="75"/>
    </row>
    <row r="954">
      <c r="D954" s="75"/>
    </row>
    <row r="955">
      <c r="D955" s="75"/>
    </row>
    <row r="956">
      <c r="D956" s="75"/>
    </row>
    <row r="957">
      <c r="D957" s="75"/>
    </row>
    <row r="958">
      <c r="D958" s="75"/>
    </row>
    <row r="959">
      <c r="D959" s="75"/>
    </row>
    <row r="960">
      <c r="D960" s="75"/>
    </row>
    <row r="961">
      <c r="D961" s="75"/>
    </row>
    <row r="962">
      <c r="D962" s="75"/>
    </row>
    <row r="963">
      <c r="D963" s="75"/>
    </row>
    <row r="964">
      <c r="D964" s="75"/>
    </row>
    <row r="965">
      <c r="D965" s="75"/>
    </row>
    <row r="966">
      <c r="D966" s="75"/>
    </row>
    <row r="967">
      <c r="D967" s="75"/>
    </row>
    <row r="968">
      <c r="D968" s="75"/>
    </row>
    <row r="969">
      <c r="D969" s="75"/>
    </row>
    <row r="970">
      <c r="D970" s="75"/>
    </row>
    <row r="971">
      <c r="D971" s="75"/>
    </row>
    <row r="972">
      <c r="D972" s="75"/>
    </row>
    <row r="973">
      <c r="D973" s="75"/>
    </row>
    <row r="974">
      <c r="D974" s="75"/>
    </row>
    <row r="975">
      <c r="D975" s="75"/>
    </row>
    <row r="976">
      <c r="D976" s="75"/>
    </row>
    <row r="977">
      <c r="D977" s="75"/>
    </row>
    <row r="978">
      <c r="D978" s="75"/>
    </row>
    <row r="979">
      <c r="D979" s="75"/>
    </row>
    <row r="980">
      <c r="D980" s="75"/>
    </row>
    <row r="981">
      <c r="D981" s="75"/>
    </row>
    <row r="982">
      <c r="D982" s="75"/>
    </row>
    <row r="983">
      <c r="D983" s="75"/>
    </row>
    <row r="984">
      <c r="D984" s="75"/>
    </row>
    <row r="985">
      <c r="D985" s="75"/>
    </row>
    <row r="986">
      <c r="D986" s="75"/>
    </row>
    <row r="987">
      <c r="D987" s="75"/>
    </row>
    <row r="988">
      <c r="D988" s="75"/>
    </row>
    <row r="989">
      <c r="D989" s="75"/>
    </row>
    <row r="990">
      <c r="D990" s="75"/>
    </row>
    <row r="991">
      <c r="D991" s="75"/>
    </row>
    <row r="992">
      <c r="D992" s="75"/>
    </row>
    <row r="993">
      <c r="D993" s="75"/>
    </row>
    <row r="994">
      <c r="D994" s="75"/>
    </row>
    <row r="995">
      <c r="D995" s="75"/>
    </row>
    <row r="996">
      <c r="D996" s="75"/>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6.75"/>
  </cols>
  <sheetData>
    <row r="1">
      <c r="A1" s="77" t="s">
        <v>278</v>
      </c>
      <c r="B1" s="77" t="s">
        <v>279</v>
      </c>
      <c r="C1" s="77" t="s">
        <v>280</v>
      </c>
      <c r="D1" s="77" t="s">
        <v>281</v>
      </c>
      <c r="E1" s="77" t="s">
        <v>282</v>
      </c>
      <c r="F1" s="77" t="s">
        <v>283</v>
      </c>
      <c r="G1" s="13"/>
    </row>
    <row r="2">
      <c r="A2" s="13">
        <v>10.0</v>
      </c>
      <c r="B2" s="78">
        <v>455519.0</v>
      </c>
      <c r="C2" s="78">
        <v>254473.0</v>
      </c>
      <c r="D2" s="78">
        <v>319863.0</v>
      </c>
      <c r="E2" s="78">
        <v>129234.0</v>
      </c>
      <c r="F2" s="79">
        <f t="shared" ref="F2:F158" si="1">SUM(B2:E2)</f>
        <v>1159089</v>
      </c>
      <c r="G2" s="13"/>
    </row>
    <row r="3">
      <c r="A3" s="13">
        <v>102.0</v>
      </c>
      <c r="B3" s="78">
        <v>110757.0</v>
      </c>
      <c r="C3" s="78">
        <v>55289.0</v>
      </c>
      <c r="D3" s="78">
        <v>76210.0</v>
      </c>
      <c r="E3" s="78">
        <v>31209.0</v>
      </c>
      <c r="F3" s="79">
        <f t="shared" si="1"/>
        <v>273465</v>
      </c>
      <c r="G3" s="13"/>
    </row>
    <row r="4">
      <c r="A4" s="13">
        <v>105.0</v>
      </c>
      <c r="B4" s="78">
        <v>907452.0</v>
      </c>
      <c r="C4" s="78">
        <v>376325.0</v>
      </c>
      <c r="D4" s="78">
        <v>502902.0</v>
      </c>
      <c r="E4" s="78">
        <v>293477.0</v>
      </c>
      <c r="F4" s="79">
        <f t="shared" si="1"/>
        <v>2080156</v>
      </c>
      <c r="G4" s="13"/>
    </row>
    <row r="5">
      <c r="A5" s="13">
        <v>106.0</v>
      </c>
      <c r="B5" s="78">
        <v>238786.0</v>
      </c>
      <c r="C5" s="78">
        <v>152109.0</v>
      </c>
      <c r="D5" s="78">
        <v>220441.0</v>
      </c>
      <c r="E5" s="78">
        <v>90026.0</v>
      </c>
      <c r="F5" s="79">
        <f t="shared" si="1"/>
        <v>701362</v>
      </c>
      <c r="G5" s="13"/>
    </row>
    <row r="6">
      <c r="A6" s="13">
        <v>108.0</v>
      </c>
      <c r="B6" s="78">
        <v>1069867.0</v>
      </c>
      <c r="C6" s="78">
        <v>383212.0</v>
      </c>
      <c r="D6" s="78">
        <v>465626.0</v>
      </c>
      <c r="E6" s="78">
        <v>304072.0</v>
      </c>
      <c r="F6" s="79">
        <f t="shared" si="1"/>
        <v>2222777</v>
      </c>
      <c r="G6" s="13"/>
    </row>
    <row r="7">
      <c r="A7" s="13">
        <v>110.0</v>
      </c>
      <c r="B7" s="78">
        <v>597076.0</v>
      </c>
      <c r="C7" s="78">
        <v>233593.0</v>
      </c>
      <c r="D7" s="78">
        <v>248697.0</v>
      </c>
      <c r="E7" s="78">
        <v>122808.0</v>
      </c>
      <c r="F7" s="79">
        <f t="shared" si="1"/>
        <v>1202174</v>
      </c>
      <c r="G7" s="13"/>
    </row>
    <row r="8">
      <c r="A8" s="13">
        <v>111.0</v>
      </c>
      <c r="B8" s="78">
        <v>1118148.0</v>
      </c>
      <c r="C8" s="78">
        <v>319742.0</v>
      </c>
      <c r="D8" s="78">
        <v>445839.0</v>
      </c>
      <c r="E8" s="78">
        <v>257570.0</v>
      </c>
      <c r="F8" s="79">
        <f t="shared" si="1"/>
        <v>2141299</v>
      </c>
      <c r="G8" s="13"/>
    </row>
    <row r="9">
      <c r="A9" s="13">
        <v>115.0</v>
      </c>
      <c r="B9" s="78">
        <v>769453.0</v>
      </c>
      <c r="C9" s="78">
        <v>270453.0</v>
      </c>
      <c r="D9" s="78">
        <v>373543.0</v>
      </c>
      <c r="E9" s="78">
        <v>226177.0</v>
      </c>
      <c r="F9" s="79">
        <f t="shared" si="1"/>
        <v>1639626</v>
      </c>
      <c r="G9" s="13"/>
    </row>
    <row r="10">
      <c r="A10" s="13">
        <v>117.0</v>
      </c>
      <c r="B10" s="78">
        <v>556497.0</v>
      </c>
      <c r="C10" s="78">
        <v>196003.0</v>
      </c>
      <c r="D10" s="78">
        <v>286589.0</v>
      </c>
      <c r="E10" s="78">
        <v>119371.0</v>
      </c>
      <c r="F10" s="79">
        <f t="shared" si="1"/>
        <v>1158460</v>
      </c>
      <c r="G10" s="13"/>
    </row>
    <row r="11">
      <c r="A11" s="13">
        <v>120.0</v>
      </c>
      <c r="B11" s="78">
        <v>244965.0</v>
      </c>
      <c r="C11" s="78">
        <v>82233.0</v>
      </c>
      <c r="D11" s="78">
        <v>137910.0</v>
      </c>
      <c r="E11" s="78">
        <v>60938.0</v>
      </c>
      <c r="F11" s="79">
        <f t="shared" si="1"/>
        <v>526046</v>
      </c>
      <c r="G11" s="13"/>
    </row>
    <row r="12">
      <c r="A12" s="13">
        <v>125.0</v>
      </c>
      <c r="B12" s="78">
        <v>419683.0</v>
      </c>
      <c r="C12" s="78">
        <v>120089.0</v>
      </c>
      <c r="D12" s="78">
        <v>182102.0</v>
      </c>
      <c r="E12" s="78">
        <v>88350.0</v>
      </c>
      <c r="F12" s="79">
        <f t="shared" si="1"/>
        <v>810224</v>
      </c>
      <c r="G12" s="13"/>
    </row>
    <row r="13">
      <c r="A13" s="13">
        <v>126.0</v>
      </c>
      <c r="B13" s="54">
        <v>143.0</v>
      </c>
      <c r="C13" s="54">
        <v>48.0</v>
      </c>
      <c r="D13" s="54">
        <v>64.0</v>
      </c>
      <c r="E13" s="54">
        <v>31.0</v>
      </c>
      <c r="F13" s="80">
        <f t="shared" si="1"/>
        <v>286</v>
      </c>
      <c r="G13" s="13"/>
    </row>
    <row r="14">
      <c r="A14" s="13">
        <v>127.0</v>
      </c>
      <c r="B14" s="78">
        <v>158615.0</v>
      </c>
      <c r="C14" s="78">
        <v>49104.0</v>
      </c>
      <c r="D14" s="78">
        <v>72590.0</v>
      </c>
      <c r="E14" s="78">
        <v>33391.0</v>
      </c>
      <c r="F14" s="79">
        <f t="shared" si="1"/>
        <v>313700</v>
      </c>
      <c r="G14" s="13"/>
    </row>
    <row r="15">
      <c r="A15" s="13">
        <v>128.0</v>
      </c>
      <c r="B15" s="78">
        <v>91124.0</v>
      </c>
      <c r="C15" s="78">
        <v>32129.0</v>
      </c>
      <c r="D15" s="78">
        <v>42099.0</v>
      </c>
      <c r="E15" s="78">
        <v>15897.0</v>
      </c>
      <c r="F15" s="79">
        <f t="shared" si="1"/>
        <v>181249</v>
      </c>
      <c r="G15" s="13"/>
    </row>
    <row r="16">
      <c r="A16" s="13">
        <v>134.0</v>
      </c>
      <c r="B16" s="78">
        <v>38624.0</v>
      </c>
      <c r="C16" s="78">
        <v>18287.0</v>
      </c>
      <c r="D16" s="78">
        <v>50009.0</v>
      </c>
      <c r="E16" s="78">
        <v>23493.0</v>
      </c>
      <c r="F16" s="79">
        <f t="shared" si="1"/>
        <v>130413</v>
      </c>
      <c r="G16" s="13"/>
    </row>
    <row r="17">
      <c r="A17" s="13">
        <v>14.0</v>
      </c>
      <c r="B17" s="78">
        <v>682052.0</v>
      </c>
      <c r="C17" s="78">
        <v>392943.0</v>
      </c>
      <c r="D17" s="78">
        <v>537183.0</v>
      </c>
      <c r="E17" s="78">
        <v>235410.0</v>
      </c>
      <c r="F17" s="79">
        <f t="shared" si="1"/>
        <v>1847588</v>
      </c>
      <c r="G17" s="13"/>
    </row>
    <row r="18">
      <c r="A18" s="13">
        <v>150.0</v>
      </c>
      <c r="B18" s="78">
        <v>253038.0</v>
      </c>
      <c r="C18" s="78">
        <v>96994.0</v>
      </c>
      <c r="D18" s="78">
        <v>134836.0</v>
      </c>
      <c r="E18" s="78">
        <v>61902.0</v>
      </c>
      <c r="F18" s="79">
        <f t="shared" si="1"/>
        <v>546770</v>
      </c>
      <c r="G18" s="13"/>
    </row>
    <row r="19">
      <c r="A19" s="13">
        <v>152.0</v>
      </c>
      <c r="B19" s="78">
        <v>796705.0</v>
      </c>
      <c r="C19" s="78">
        <v>260092.0</v>
      </c>
      <c r="D19" s="78">
        <v>323595.0</v>
      </c>
      <c r="E19" s="78">
        <v>203595.0</v>
      </c>
      <c r="F19" s="79">
        <f t="shared" si="1"/>
        <v>1583987</v>
      </c>
      <c r="G19" s="13"/>
    </row>
    <row r="20">
      <c r="A20" s="13">
        <v>154.0</v>
      </c>
      <c r="B20" s="78">
        <v>19690.0</v>
      </c>
      <c r="C20" s="78">
        <v>10971.0</v>
      </c>
      <c r="D20" s="78">
        <v>20795.0</v>
      </c>
      <c r="E20" s="78">
        <v>9867.0</v>
      </c>
      <c r="F20" s="79">
        <f t="shared" si="1"/>
        <v>61323</v>
      </c>
      <c r="G20" s="13"/>
    </row>
    <row r="21">
      <c r="A21" s="13">
        <v>155.0</v>
      </c>
      <c r="B21" s="78">
        <v>107275.0</v>
      </c>
      <c r="C21" s="78">
        <v>47609.0</v>
      </c>
      <c r="D21" s="78">
        <v>112802.0</v>
      </c>
      <c r="E21" s="78">
        <v>50883.0</v>
      </c>
      <c r="F21" s="79">
        <f t="shared" si="1"/>
        <v>318569</v>
      </c>
      <c r="G21" s="13"/>
    </row>
    <row r="22">
      <c r="A22" s="13">
        <v>156.0</v>
      </c>
      <c r="B22" s="54">
        <v>34.0</v>
      </c>
      <c r="C22" s="54">
        <v>21.0</v>
      </c>
      <c r="D22" s="54">
        <v>40.0</v>
      </c>
      <c r="E22" s="54">
        <v>17.0</v>
      </c>
      <c r="F22" s="80">
        <f t="shared" si="1"/>
        <v>112</v>
      </c>
      <c r="G22" s="13"/>
    </row>
    <row r="23">
      <c r="A23" s="13">
        <v>158.0</v>
      </c>
      <c r="B23" s="78">
        <v>168634.0</v>
      </c>
      <c r="C23" s="78">
        <v>69408.0</v>
      </c>
      <c r="D23" s="78">
        <v>87980.0</v>
      </c>
      <c r="E23" s="78">
        <v>38400.0</v>
      </c>
      <c r="F23" s="79">
        <f t="shared" si="1"/>
        <v>364422</v>
      </c>
      <c r="G23" s="13"/>
    </row>
    <row r="24">
      <c r="A24" s="13">
        <v>16.0</v>
      </c>
      <c r="B24" s="78">
        <v>1012091.0</v>
      </c>
      <c r="C24" s="78">
        <v>615389.0</v>
      </c>
      <c r="D24" s="78">
        <v>802600.0</v>
      </c>
      <c r="E24" s="78">
        <v>333048.0</v>
      </c>
      <c r="F24" s="79">
        <f t="shared" si="1"/>
        <v>2763128</v>
      </c>
      <c r="G24" s="13"/>
    </row>
    <row r="25">
      <c r="A25" s="13">
        <v>161.0</v>
      </c>
      <c r="B25" s="78">
        <v>85366.0</v>
      </c>
      <c r="C25" s="78">
        <v>15290.0</v>
      </c>
      <c r="D25" s="78">
        <v>44949.0</v>
      </c>
      <c r="E25" s="78">
        <v>17493.0</v>
      </c>
      <c r="F25" s="79">
        <f t="shared" si="1"/>
        <v>163098</v>
      </c>
      <c r="G25" s="13"/>
    </row>
    <row r="26">
      <c r="A26" s="13">
        <v>162.0</v>
      </c>
      <c r="B26" s="78">
        <v>825482.0</v>
      </c>
      <c r="C26" s="78">
        <v>248708.0</v>
      </c>
      <c r="D26" s="78">
        <v>331223.0</v>
      </c>
      <c r="E26" s="78">
        <v>156103.0</v>
      </c>
      <c r="F26" s="79">
        <f t="shared" si="1"/>
        <v>1561516</v>
      </c>
      <c r="G26" s="13"/>
    </row>
    <row r="27">
      <c r="A27" s="13">
        <v>163.0</v>
      </c>
      <c r="B27" s="54">
        <v>259.0</v>
      </c>
      <c r="C27" s="54">
        <v>75.0</v>
      </c>
      <c r="D27" s="54">
        <v>113.0</v>
      </c>
      <c r="E27" s="54">
        <v>56.0</v>
      </c>
      <c r="F27" s="80">
        <f t="shared" si="1"/>
        <v>503</v>
      </c>
      <c r="G27" s="13"/>
    </row>
    <row r="28">
      <c r="A28" s="13">
        <v>164.0</v>
      </c>
      <c r="B28" s="78">
        <v>504705.0</v>
      </c>
      <c r="C28" s="78">
        <v>223988.0</v>
      </c>
      <c r="D28" s="78">
        <v>254330.0</v>
      </c>
      <c r="E28" s="78">
        <v>127069.0</v>
      </c>
      <c r="F28" s="79">
        <f t="shared" si="1"/>
        <v>1110092</v>
      </c>
      <c r="G28" s="13"/>
    </row>
    <row r="29">
      <c r="A29" s="13">
        <v>165.0</v>
      </c>
      <c r="B29" s="78">
        <v>665450.0</v>
      </c>
      <c r="C29" s="78">
        <v>256090.0</v>
      </c>
      <c r="D29" s="78">
        <v>302872.0</v>
      </c>
      <c r="E29" s="78">
        <v>141346.0</v>
      </c>
      <c r="F29" s="79">
        <f t="shared" si="1"/>
        <v>1365758</v>
      </c>
      <c r="G29" s="13"/>
    </row>
    <row r="30">
      <c r="A30" s="13">
        <v>166.0</v>
      </c>
      <c r="B30" s="78">
        <v>485799.0</v>
      </c>
      <c r="C30" s="78">
        <v>157936.0</v>
      </c>
      <c r="D30" s="78">
        <v>220040.0</v>
      </c>
      <c r="E30" s="78">
        <v>97626.0</v>
      </c>
      <c r="F30" s="79">
        <f t="shared" si="1"/>
        <v>961401</v>
      </c>
      <c r="G30" s="13"/>
    </row>
    <row r="31">
      <c r="A31" s="13">
        <v>167.0</v>
      </c>
      <c r="B31" s="78">
        <v>110877.0</v>
      </c>
      <c r="C31" s="78">
        <v>47092.0</v>
      </c>
      <c r="D31" s="78">
        <v>70940.0</v>
      </c>
      <c r="E31" s="78">
        <v>20595.0</v>
      </c>
      <c r="F31" s="79">
        <f t="shared" si="1"/>
        <v>249504</v>
      </c>
      <c r="G31" s="13"/>
    </row>
    <row r="32">
      <c r="A32" s="13">
        <v>169.0</v>
      </c>
      <c r="B32" s="78">
        <v>194547.0</v>
      </c>
      <c r="C32" s="78">
        <v>74527.0</v>
      </c>
      <c r="D32" s="78">
        <v>83588.0</v>
      </c>
      <c r="E32" s="78">
        <v>31687.0</v>
      </c>
      <c r="F32" s="79">
        <f t="shared" si="1"/>
        <v>384349</v>
      </c>
      <c r="G32" s="13"/>
    </row>
    <row r="33">
      <c r="A33" s="13">
        <v>17.0</v>
      </c>
      <c r="B33" s="54">
        <v>154.0</v>
      </c>
      <c r="C33" s="54">
        <v>31.0</v>
      </c>
      <c r="D33" s="54">
        <v>85.0</v>
      </c>
      <c r="E33" s="54">
        <v>50.0</v>
      </c>
      <c r="F33" s="80">
        <f t="shared" si="1"/>
        <v>320</v>
      </c>
      <c r="G33" s="13"/>
    </row>
    <row r="34">
      <c r="A34" s="13">
        <v>177.0</v>
      </c>
      <c r="B34" s="13"/>
      <c r="C34" s="13"/>
      <c r="D34" s="54">
        <v>1.0</v>
      </c>
      <c r="E34" s="13"/>
      <c r="F34" s="80">
        <f t="shared" si="1"/>
        <v>1</v>
      </c>
      <c r="G34" s="13"/>
    </row>
    <row r="35">
      <c r="A35" s="13">
        <v>179.0</v>
      </c>
      <c r="B35" s="78">
        <v>67149.0</v>
      </c>
      <c r="C35" s="78">
        <v>23502.0</v>
      </c>
      <c r="D35" s="78">
        <v>78686.0</v>
      </c>
      <c r="E35" s="78">
        <v>37213.0</v>
      </c>
      <c r="F35" s="79">
        <f t="shared" si="1"/>
        <v>206550</v>
      </c>
      <c r="G35" s="13"/>
    </row>
    <row r="36">
      <c r="A36" s="13">
        <v>18.0</v>
      </c>
      <c r="B36" s="78">
        <v>1175645.0</v>
      </c>
      <c r="C36" s="78">
        <v>529763.0</v>
      </c>
      <c r="D36" s="78">
        <v>638996.0</v>
      </c>
      <c r="E36" s="78">
        <v>329645.0</v>
      </c>
      <c r="F36" s="79">
        <f t="shared" si="1"/>
        <v>2674049</v>
      </c>
      <c r="G36" s="13"/>
    </row>
    <row r="37">
      <c r="A37" s="13">
        <v>180.0</v>
      </c>
      <c r="B37" s="78">
        <v>544363.0</v>
      </c>
      <c r="C37" s="78">
        <v>210509.0</v>
      </c>
      <c r="D37" s="78">
        <v>563213.0</v>
      </c>
      <c r="E37" s="78">
        <v>237203.0</v>
      </c>
      <c r="F37" s="79">
        <f t="shared" si="1"/>
        <v>1555288</v>
      </c>
      <c r="G37" s="13"/>
    </row>
    <row r="38">
      <c r="A38" s="13">
        <v>181.0</v>
      </c>
      <c r="B38" s="54">
        <v>49.0</v>
      </c>
      <c r="C38" s="54">
        <v>32.0</v>
      </c>
      <c r="D38" s="54">
        <v>55.0</v>
      </c>
      <c r="E38" s="54">
        <v>20.0</v>
      </c>
      <c r="F38" s="80">
        <f t="shared" si="1"/>
        <v>156</v>
      </c>
      <c r="G38" s="13"/>
    </row>
    <row r="39">
      <c r="A39" s="13">
        <v>182.0</v>
      </c>
      <c r="B39" s="78">
        <v>203776.0</v>
      </c>
      <c r="C39" s="78">
        <v>101514.0</v>
      </c>
      <c r="D39" s="78">
        <v>164457.0</v>
      </c>
      <c r="E39" s="78">
        <v>57488.0</v>
      </c>
      <c r="F39" s="79">
        <f t="shared" si="1"/>
        <v>527235</v>
      </c>
      <c r="G39" s="13"/>
    </row>
    <row r="40">
      <c r="A40" s="13">
        <v>194.0</v>
      </c>
      <c r="B40" s="54">
        <v>12.0</v>
      </c>
      <c r="C40" s="54">
        <v>4.0</v>
      </c>
      <c r="D40" s="54">
        <v>14.0</v>
      </c>
      <c r="E40" s="13"/>
      <c r="F40" s="80">
        <f t="shared" si="1"/>
        <v>30</v>
      </c>
      <c r="G40" s="13"/>
    </row>
    <row r="41">
      <c r="A41" s="13">
        <v>2.0</v>
      </c>
      <c r="B41" s="78">
        <v>1162112.0</v>
      </c>
      <c r="C41" s="78">
        <v>561204.0</v>
      </c>
      <c r="D41" s="78">
        <v>983836.0</v>
      </c>
      <c r="E41" s="78">
        <v>434909.0</v>
      </c>
      <c r="F41" s="79">
        <f t="shared" si="1"/>
        <v>3142061</v>
      </c>
      <c r="G41" s="13"/>
    </row>
    <row r="42">
      <c r="A42" s="13">
        <v>20.0</v>
      </c>
      <c r="B42" s="78">
        <v>440787.0</v>
      </c>
      <c r="C42" s="78">
        <v>218812.0</v>
      </c>
      <c r="D42" s="78">
        <v>415336.0</v>
      </c>
      <c r="E42" s="78">
        <v>183206.0</v>
      </c>
      <c r="F42" s="79">
        <f t="shared" si="1"/>
        <v>1258141</v>
      </c>
      <c r="G42" s="13"/>
    </row>
    <row r="43">
      <c r="A43" s="13">
        <v>200.0</v>
      </c>
      <c r="B43" s="54">
        <v>36.0</v>
      </c>
      <c r="C43" s="54">
        <v>14.0</v>
      </c>
      <c r="D43" s="54">
        <v>27.0</v>
      </c>
      <c r="E43" s="54">
        <v>11.0</v>
      </c>
      <c r="F43" s="80">
        <f t="shared" si="1"/>
        <v>88</v>
      </c>
      <c r="G43" s="13"/>
    </row>
    <row r="44">
      <c r="A44" s="13">
        <v>201.0</v>
      </c>
      <c r="B44" s="54">
        <v>43.0</v>
      </c>
      <c r="C44" s="54">
        <v>21.0</v>
      </c>
      <c r="D44" s="54">
        <v>35.0</v>
      </c>
      <c r="E44" s="54">
        <v>13.0</v>
      </c>
      <c r="F44" s="80">
        <f t="shared" si="1"/>
        <v>112</v>
      </c>
      <c r="G44" s="13"/>
    </row>
    <row r="45">
      <c r="A45" s="13">
        <v>202.0</v>
      </c>
      <c r="B45" s="78">
        <v>12316.0</v>
      </c>
      <c r="C45" s="78">
        <v>6869.0</v>
      </c>
      <c r="D45" s="78">
        <v>9970.0</v>
      </c>
      <c r="E45" s="78">
        <v>5125.0</v>
      </c>
      <c r="F45" s="79">
        <f t="shared" si="1"/>
        <v>34280</v>
      </c>
      <c r="G45" s="13"/>
    </row>
    <row r="46">
      <c r="A46" s="13">
        <v>204.0</v>
      </c>
      <c r="B46" s="78">
        <v>903129.0</v>
      </c>
      <c r="C46" s="78">
        <v>466249.0</v>
      </c>
      <c r="D46" s="78">
        <v>579069.0</v>
      </c>
      <c r="E46" s="78">
        <v>320448.0</v>
      </c>
      <c r="F46" s="79">
        <f t="shared" si="1"/>
        <v>2268895</v>
      </c>
      <c r="G46" s="13"/>
    </row>
    <row r="47">
      <c r="A47" s="13">
        <v>205.0</v>
      </c>
      <c r="B47" s="78">
        <v>232504.0</v>
      </c>
      <c r="C47" s="78">
        <v>88303.0</v>
      </c>
      <c r="D47" s="78">
        <v>128100.0</v>
      </c>
      <c r="E47" s="78">
        <v>62240.0</v>
      </c>
      <c r="F47" s="79">
        <f t="shared" si="1"/>
        <v>511147</v>
      </c>
      <c r="G47" s="13"/>
    </row>
    <row r="48">
      <c r="A48" s="13">
        <v>206.0</v>
      </c>
      <c r="B48" s="78">
        <v>626618.0</v>
      </c>
      <c r="C48" s="78">
        <v>286936.0</v>
      </c>
      <c r="D48" s="78">
        <v>363725.0</v>
      </c>
      <c r="E48" s="78">
        <v>171624.0</v>
      </c>
      <c r="F48" s="79">
        <f t="shared" si="1"/>
        <v>1448903</v>
      </c>
      <c r="G48" s="13"/>
    </row>
    <row r="49">
      <c r="A49" s="13">
        <v>207.0</v>
      </c>
      <c r="B49" s="78">
        <v>1153841.0</v>
      </c>
      <c r="C49" s="78">
        <v>548285.0</v>
      </c>
      <c r="D49" s="78">
        <v>768478.0</v>
      </c>
      <c r="E49" s="78">
        <v>440691.0</v>
      </c>
      <c r="F49" s="79">
        <f t="shared" si="1"/>
        <v>2911295</v>
      </c>
      <c r="G49" s="13"/>
    </row>
    <row r="50">
      <c r="A50" s="13">
        <v>209.0</v>
      </c>
      <c r="B50" s="78">
        <v>16715.0</v>
      </c>
      <c r="C50" s="78">
        <v>8768.0</v>
      </c>
      <c r="D50" s="78">
        <v>14362.0</v>
      </c>
      <c r="E50" s="78">
        <v>6581.0</v>
      </c>
      <c r="F50" s="79">
        <f t="shared" si="1"/>
        <v>46426</v>
      </c>
      <c r="G50" s="13"/>
    </row>
    <row r="51">
      <c r="A51" s="13">
        <v>210.0</v>
      </c>
      <c r="B51" s="78">
        <v>737422.0</v>
      </c>
      <c r="C51" s="78">
        <v>321966.0</v>
      </c>
      <c r="D51" s="78">
        <v>548431.0</v>
      </c>
      <c r="E51" s="78">
        <v>310623.0</v>
      </c>
      <c r="F51" s="79">
        <f t="shared" si="1"/>
        <v>1918442</v>
      </c>
      <c r="G51" s="13"/>
    </row>
    <row r="52">
      <c r="A52" s="13">
        <v>211.0</v>
      </c>
      <c r="B52" s="78">
        <v>19560.0</v>
      </c>
      <c r="C52" s="78">
        <v>8424.0</v>
      </c>
      <c r="D52" s="78">
        <v>10391.0</v>
      </c>
      <c r="E52" s="78">
        <v>4285.0</v>
      </c>
      <c r="F52" s="79">
        <f t="shared" si="1"/>
        <v>42660</v>
      </c>
      <c r="G52" s="13"/>
    </row>
    <row r="53">
      <c r="A53" s="13">
        <v>212.0</v>
      </c>
      <c r="B53" s="78">
        <v>560147.0</v>
      </c>
      <c r="C53" s="78">
        <v>240232.0</v>
      </c>
      <c r="D53" s="78">
        <v>426892.0</v>
      </c>
      <c r="E53" s="78">
        <v>284053.0</v>
      </c>
      <c r="F53" s="79">
        <f t="shared" si="1"/>
        <v>1511324</v>
      </c>
      <c r="G53" s="13"/>
    </row>
    <row r="54">
      <c r="A54" s="13">
        <v>215.0</v>
      </c>
      <c r="B54" s="78">
        <v>1654.0</v>
      </c>
      <c r="C54" s="54">
        <v>682.0</v>
      </c>
      <c r="D54" s="54">
        <v>997.0</v>
      </c>
      <c r="E54" s="54">
        <v>401.0</v>
      </c>
      <c r="F54" s="79">
        <f t="shared" si="1"/>
        <v>3734</v>
      </c>
      <c r="G54" s="13"/>
    </row>
    <row r="55">
      <c r="A55" s="13">
        <v>217.0</v>
      </c>
      <c r="B55" s="78">
        <v>552296.0</v>
      </c>
      <c r="C55" s="78">
        <v>298900.0</v>
      </c>
      <c r="D55" s="78">
        <v>706757.0</v>
      </c>
      <c r="E55" s="78">
        <v>357001.0</v>
      </c>
      <c r="F55" s="79">
        <f t="shared" si="1"/>
        <v>1914954</v>
      </c>
      <c r="G55" s="13"/>
    </row>
    <row r="56">
      <c r="A56" s="13">
        <v>218.0</v>
      </c>
      <c r="B56" s="78">
        <v>38290.0</v>
      </c>
      <c r="C56" s="78">
        <v>13150.0</v>
      </c>
      <c r="D56" s="78">
        <v>37922.0</v>
      </c>
      <c r="E56" s="78">
        <v>22527.0</v>
      </c>
      <c r="F56" s="79">
        <f t="shared" si="1"/>
        <v>111889</v>
      </c>
      <c r="G56" s="13"/>
    </row>
    <row r="57">
      <c r="A57" s="13">
        <v>220.0</v>
      </c>
      <c r="B57" s="54">
        <v>185.0</v>
      </c>
      <c r="C57" s="54">
        <v>72.0</v>
      </c>
      <c r="D57" s="54">
        <v>142.0</v>
      </c>
      <c r="E57" s="54">
        <v>85.0</v>
      </c>
      <c r="F57" s="80">
        <f t="shared" si="1"/>
        <v>484</v>
      </c>
      <c r="G57" s="13"/>
    </row>
    <row r="58">
      <c r="A58" s="13">
        <v>222.0</v>
      </c>
      <c r="B58" s="78">
        <v>70348.0</v>
      </c>
      <c r="C58" s="78">
        <v>27828.0</v>
      </c>
      <c r="D58" s="78">
        <v>76782.0</v>
      </c>
      <c r="E58" s="78">
        <v>41938.0</v>
      </c>
      <c r="F58" s="79">
        <f t="shared" si="1"/>
        <v>216896</v>
      </c>
      <c r="G58" s="13"/>
    </row>
    <row r="59">
      <c r="A59" s="13">
        <v>224.0</v>
      </c>
      <c r="B59" s="78">
        <v>482169.0</v>
      </c>
      <c r="C59" s="78">
        <v>167892.0</v>
      </c>
      <c r="D59" s="78">
        <v>247593.0</v>
      </c>
      <c r="E59" s="78">
        <v>161446.0</v>
      </c>
      <c r="F59" s="79">
        <f t="shared" si="1"/>
        <v>1059100</v>
      </c>
      <c r="G59" s="13"/>
    </row>
    <row r="60">
      <c r="A60" s="13">
        <v>230.0</v>
      </c>
      <c r="B60" s="78">
        <v>235310.0</v>
      </c>
      <c r="C60" s="78">
        <v>84125.0</v>
      </c>
      <c r="D60" s="78">
        <v>100384.0</v>
      </c>
      <c r="E60" s="78">
        <v>52746.0</v>
      </c>
      <c r="F60" s="79">
        <f t="shared" si="1"/>
        <v>472565</v>
      </c>
      <c r="G60" s="13"/>
    </row>
    <row r="61">
      <c r="A61" s="13">
        <v>232.0</v>
      </c>
      <c r="B61" s="78">
        <v>421898.0</v>
      </c>
      <c r="C61" s="78">
        <v>113051.0</v>
      </c>
      <c r="D61" s="78">
        <v>207327.0</v>
      </c>
      <c r="E61" s="78">
        <v>96464.0</v>
      </c>
      <c r="F61" s="79">
        <f t="shared" si="1"/>
        <v>838740</v>
      </c>
      <c r="G61" s="13"/>
    </row>
    <row r="62">
      <c r="A62" s="13">
        <v>233.0</v>
      </c>
      <c r="B62" s="78">
        <v>997408.0</v>
      </c>
      <c r="C62" s="78">
        <v>299392.0</v>
      </c>
      <c r="D62" s="78">
        <v>354223.0</v>
      </c>
      <c r="E62" s="78">
        <v>203630.0</v>
      </c>
      <c r="F62" s="79">
        <f t="shared" si="1"/>
        <v>1854653</v>
      </c>
      <c r="G62" s="13"/>
    </row>
    <row r="63">
      <c r="A63" s="13">
        <v>234.0</v>
      </c>
      <c r="B63" s="78">
        <v>718211.0</v>
      </c>
      <c r="C63" s="78">
        <v>270825.0</v>
      </c>
      <c r="D63" s="78">
        <v>298879.0</v>
      </c>
      <c r="E63" s="78">
        <v>137645.0</v>
      </c>
      <c r="F63" s="79">
        <f t="shared" si="1"/>
        <v>1425560</v>
      </c>
      <c r="G63" s="13"/>
    </row>
    <row r="64">
      <c r="A64" s="13">
        <v>235.0</v>
      </c>
      <c r="B64" s="78">
        <v>6172.0</v>
      </c>
      <c r="C64" s="78">
        <v>3029.0</v>
      </c>
      <c r="D64" s="78">
        <v>3528.0</v>
      </c>
      <c r="E64" s="78">
        <v>1971.0</v>
      </c>
      <c r="F64" s="79">
        <f t="shared" si="1"/>
        <v>14700</v>
      </c>
      <c r="G64" s="13"/>
    </row>
    <row r="65">
      <c r="A65" s="13">
        <v>236.0</v>
      </c>
      <c r="B65" s="78">
        <v>142231.0</v>
      </c>
      <c r="C65" s="78">
        <v>70596.0</v>
      </c>
      <c r="D65" s="78">
        <v>75873.0</v>
      </c>
      <c r="E65" s="78">
        <v>39698.0</v>
      </c>
      <c r="F65" s="79">
        <f t="shared" si="1"/>
        <v>328398</v>
      </c>
      <c r="G65" s="13"/>
    </row>
    <row r="66">
      <c r="A66" s="13">
        <v>237.0</v>
      </c>
      <c r="B66" s="78">
        <v>136011.0</v>
      </c>
      <c r="C66" s="78">
        <v>68413.0</v>
      </c>
      <c r="D66" s="78">
        <v>100721.0</v>
      </c>
      <c r="E66" s="78">
        <v>41079.0</v>
      </c>
      <c r="F66" s="79">
        <f t="shared" si="1"/>
        <v>346224</v>
      </c>
      <c r="G66" s="13"/>
    </row>
    <row r="67">
      <c r="A67" s="13">
        <v>240.0</v>
      </c>
      <c r="B67" s="78">
        <v>727768.0</v>
      </c>
      <c r="C67" s="78">
        <v>287210.0</v>
      </c>
      <c r="D67" s="78">
        <v>524513.0</v>
      </c>
      <c r="E67" s="78">
        <v>294082.0</v>
      </c>
      <c r="F67" s="79">
        <f t="shared" si="1"/>
        <v>1833573</v>
      </c>
      <c r="G67" s="13"/>
    </row>
    <row r="68">
      <c r="A68" s="13">
        <v>242.0</v>
      </c>
      <c r="B68" s="78">
        <v>133771.0</v>
      </c>
      <c r="C68" s="78">
        <v>66138.0</v>
      </c>
      <c r="D68" s="78">
        <v>63800.0</v>
      </c>
      <c r="E68" s="78">
        <v>27507.0</v>
      </c>
      <c r="F68" s="79">
        <f t="shared" si="1"/>
        <v>291216</v>
      </c>
      <c r="G68" s="13"/>
    </row>
    <row r="69">
      <c r="A69" s="13">
        <v>243.0</v>
      </c>
      <c r="B69" s="78">
        <v>10316.0</v>
      </c>
      <c r="C69" s="78">
        <v>5102.0</v>
      </c>
      <c r="D69" s="78">
        <v>4928.0</v>
      </c>
      <c r="E69" s="78">
        <v>2457.0</v>
      </c>
      <c r="F69" s="79">
        <f t="shared" si="1"/>
        <v>22803</v>
      </c>
      <c r="G69" s="13"/>
    </row>
    <row r="70">
      <c r="A70" s="13">
        <v>244.0</v>
      </c>
      <c r="B70" s="78">
        <v>122542.0</v>
      </c>
      <c r="C70" s="78">
        <v>45474.0</v>
      </c>
      <c r="D70" s="78">
        <v>52403.0</v>
      </c>
      <c r="E70" s="78">
        <v>26146.0</v>
      </c>
      <c r="F70" s="79">
        <f t="shared" si="1"/>
        <v>246565</v>
      </c>
      <c r="G70" s="13"/>
    </row>
    <row r="71">
      <c r="A71" s="13">
        <v>245.0</v>
      </c>
      <c r="B71" s="54">
        <v>310.0</v>
      </c>
      <c r="C71" s="54">
        <v>95.0</v>
      </c>
      <c r="D71" s="54">
        <v>127.0</v>
      </c>
      <c r="E71" s="54">
        <v>47.0</v>
      </c>
      <c r="F71" s="80">
        <f t="shared" si="1"/>
        <v>579</v>
      </c>
      <c r="G71" s="13"/>
    </row>
    <row r="72">
      <c r="A72" s="13">
        <v>246.0</v>
      </c>
      <c r="B72" s="78">
        <v>301288.0</v>
      </c>
      <c r="C72" s="78">
        <v>107209.0</v>
      </c>
      <c r="D72" s="78">
        <v>119752.0</v>
      </c>
      <c r="E72" s="78">
        <v>54211.0</v>
      </c>
      <c r="F72" s="79">
        <f t="shared" si="1"/>
        <v>582460</v>
      </c>
      <c r="G72" s="13"/>
    </row>
    <row r="73">
      <c r="A73" s="13">
        <v>251.0</v>
      </c>
      <c r="B73" s="78">
        <v>1089581.0</v>
      </c>
      <c r="C73" s="78">
        <v>449053.0</v>
      </c>
      <c r="D73" s="78">
        <v>582422.0</v>
      </c>
      <c r="E73" s="78">
        <v>346449.0</v>
      </c>
      <c r="F73" s="79">
        <f t="shared" si="1"/>
        <v>2467505</v>
      </c>
      <c r="G73" s="13"/>
    </row>
    <row r="74">
      <c r="A74" s="13">
        <v>252.0</v>
      </c>
      <c r="B74" s="54">
        <v>159.0</v>
      </c>
      <c r="C74" s="54">
        <v>76.0</v>
      </c>
      <c r="D74" s="54">
        <v>109.0</v>
      </c>
      <c r="E74" s="54">
        <v>48.0</v>
      </c>
      <c r="F74" s="80">
        <f t="shared" si="1"/>
        <v>392</v>
      </c>
      <c r="G74" s="13"/>
    </row>
    <row r="75">
      <c r="A75" s="13">
        <v>254.0</v>
      </c>
      <c r="B75" s="54">
        <v>46.0</v>
      </c>
      <c r="C75" s="54">
        <v>39.0</v>
      </c>
      <c r="D75" s="54">
        <v>36.0</v>
      </c>
      <c r="E75" s="54">
        <v>39.0</v>
      </c>
      <c r="F75" s="80">
        <f t="shared" si="1"/>
        <v>160</v>
      </c>
      <c r="G75" s="13"/>
    </row>
    <row r="76">
      <c r="A76" s="13">
        <v>256.0</v>
      </c>
      <c r="B76" s="54">
        <v>5.0</v>
      </c>
      <c r="C76" s="54">
        <v>2.0</v>
      </c>
      <c r="D76" s="54">
        <v>1.0</v>
      </c>
      <c r="E76" s="54">
        <v>3.0</v>
      </c>
      <c r="F76" s="80">
        <f t="shared" si="1"/>
        <v>11</v>
      </c>
      <c r="G76" s="13"/>
    </row>
    <row r="77">
      <c r="A77" s="13">
        <v>258.0</v>
      </c>
      <c r="B77" s="78">
        <v>177821.0</v>
      </c>
      <c r="C77" s="78">
        <v>73285.0</v>
      </c>
      <c r="D77" s="78">
        <v>136224.0</v>
      </c>
      <c r="E77" s="78">
        <v>47914.0</v>
      </c>
      <c r="F77" s="79">
        <f t="shared" si="1"/>
        <v>435244</v>
      </c>
      <c r="G77" s="13"/>
    </row>
    <row r="78">
      <c r="A78" s="13">
        <v>260.0</v>
      </c>
      <c r="B78" s="78">
        <v>869876.0</v>
      </c>
      <c r="C78" s="78">
        <v>338360.0</v>
      </c>
      <c r="D78" s="78">
        <v>565316.0</v>
      </c>
      <c r="E78" s="78">
        <v>290331.0</v>
      </c>
      <c r="F78" s="79">
        <f t="shared" si="1"/>
        <v>2063883</v>
      </c>
      <c r="G78" s="13"/>
    </row>
    <row r="79">
      <c r="A79" s="13">
        <v>264.0</v>
      </c>
      <c r="B79" s="54">
        <v>200.0</v>
      </c>
      <c r="C79" s="54">
        <v>58.0</v>
      </c>
      <c r="D79" s="54">
        <v>75.0</v>
      </c>
      <c r="E79" s="54">
        <v>57.0</v>
      </c>
      <c r="F79" s="80">
        <f t="shared" si="1"/>
        <v>390</v>
      </c>
      <c r="G79" s="13"/>
    </row>
    <row r="80">
      <c r="A80" s="13">
        <v>265.0</v>
      </c>
      <c r="B80" s="78">
        <v>116457.0</v>
      </c>
      <c r="C80" s="78">
        <v>37608.0</v>
      </c>
      <c r="D80" s="78">
        <v>56536.0</v>
      </c>
      <c r="E80" s="78">
        <v>22660.0</v>
      </c>
      <c r="F80" s="79">
        <f t="shared" si="1"/>
        <v>233261</v>
      </c>
      <c r="G80" s="13"/>
    </row>
    <row r="81">
      <c r="A81" s="13">
        <v>266.0</v>
      </c>
      <c r="B81" s="78">
        <v>487749.0</v>
      </c>
      <c r="C81" s="78">
        <v>149818.0</v>
      </c>
      <c r="D81" s="78">
        <v>276362.0</v>
      </c>
      <c r="E81" s="78">
        <v>133024.0</v>
      </c>
      <c r="F81" s="79">
        <f t="shared" si="1"/>
        <v>1046953</v>
      </c>
      <c r="G81" s="13"/>
    </row>
    <row r="82">
      <c r="A82" s="13">
        <v>267.0</v>
      </c>
      <c r="B82" s="78">
        <v>119868.0</v>
      </c>
      <c r="C82" s="78">
        <v>47735.0</v>
      </c>
      <c r="D82" s="78">
        <v>192082.0</v>
      </c>
      <c r="E82" s="78">
        <v>49758.0</v>
      </c>
      <c r="F82" s="79">
        <f t="shared" si="1"/>
        <v>409443</v>
      </c>
      <c r="G82" s="13"/>
    </row>
    <row r="83">
      <c r="A83" s="13">
        <v>268.0</v>
      </c>
      <c r="B83" s="78">
        <v>64898.0</v>
      </c>
      <c r="C83" s="78">
        <v>17826.0</v>
      </c>
      <c r="D83" s="78">
        <v>64064.0</v>
      </c>
      <c r="E83" s="78">
        <v>23149.0</v>
      </c>
      <c r="F83" s="79">
        <f t="shared" si="1"/>
        <v>169937</v>
      </c>
      <c r="G83" s="13"/>
    </row>
    <row r="84">
      <c r="A84" s="13">
        <v>270.0</v>
      </c>
      <c r="B84" s="54">
        <v>59.0</v>
      </c>
      <c r="C84" s="54">
        <v>28.0</v>
      </c>
      <c r="D84" s="54">
        <v>20.0</v>
      </c>
      <c r="E84" s="54">
        <v>14.0</v>
      </c>
      <c r="F84" s="80">
        <f t="shared" si="1"/>
        <v>121</v>
      </c>
      <c r="G84" s="13"/>
    </row>
    <row r="85">
      <c r="A85" s="13">
        <v>28.0</v>
      </c>
      <c r="B85" s="78">
        <v>706923.0</v>
      </c>
      <c r="C85" s="78">
        <v>316162.0</v>
      </c>
      <c r="D85" s="78">
        <v>520772.0</v>
      </c>
      <c r="E85" s="78">
        <v>213796.0</v>
      </c>
      <c r="F85" s="79">
        <f t="shared" si="1"/>
        <v>1757653</v>
      </c>
      <c r="G85" s="13"/>
    </row>
    <row r="86">
      <c r="A86" s="13">
        <v>287.0</v>
      </c>
      <c r="B86" s="78">
        <v>69635.0</v>
      </c>
      <c r="C86" s="78">
        <v>20882.0</v>
      </c>
      <c r="D86" s="78">
        <v>73990.0</v>
      </c>
      <c r="E86" s="78">
        <v>23894.0</v>
      </c>
      <c r="F86" s="79">
        <f t="shared" si="1"/>
        <v>188401</v>
      </c>
      <c r="G86" s="13"/>
    </row>
    <row r="87">
      <c r="A87" s="13">
        <v>292.0</v>
      </c>
      <c r="B87" s="54">
        <v>54.0</v>
      </c>
      <c r="C87" s="54">
        <v>23.0</v>
      </c>
      <c r="D87" s="54">
        <v>43.0</v>
      </c>
      <c r="E87" s="54">
        <v>16.0</v>
      </c>
      <c r="F87" s="80">
        <f t="shared" si="1"/>
        <v>136</v>
      </c>
      <c r="G87" s="13"/>
    </row>
    <row r="88">
      <c r="A88" s="13">
        <v>294.0</v>
      </c>
      <c r="B88" s="78">
        <v>144286.0</v>
      </c>
      <c r="C88" s="78">
        <v>45492.0</v>
      </c>
      <c r="D88" s="78">
        <v>64499.0</v>
      </c>
      <c r="E88" s="78">
        <v>33430.0</v>
      </c>
      <c r="F88" s="79">
        <f t="shared" si="1"/>
        <v>287707</v>
      </c>
      <c r="G88" s="13"/>
    </row>
    <row r="89">
      <c r="A89" s="13">
        <v>296.0</v>
      </c>
      <c r="B89" s="78">
        <v>39414.0</v>
      </c>
      <c r="C89" s="78">
        <v>18903.0</v>
      </c>
      <c r="D89" s="78">
        <v>39065.0</v>
      </c>
      <c r="E89" s="78">
        <v>20469.0</v>
      </c>
      <c r="F89" s="79">
        <f t="shared" si="1"/>
        <v>117851</v>
      </c>
      <c r="G89" s="13"/>
    </row>
    <row r="90">
      <c r="A90" s="13">
        <v>30.0</v>
      </c>
      <c r="B90" s="78">
        <v>660461.0</v>
      </c>
      <c r="C90" s="78">
        <v>282831.0</v>
      </c>
      <c r="D90" s="78">
        <v>336910.0</v>
      </c>
      <c r="E90" s="78">
        <v>177734.0</v>
      </c>
      <c r="F90" s="79">
        <f t="shared" si="1"/>
        <v>1457936</v>
      </c>
      <c r="G90" s="13"/>
    </row>
    <row r="91">
      <c r="A91" s="13">
        <v>33.0</v>
      </c>
      <c r="B91" s="78">
        <v>1292018.0</v>
      </c>
      <c r="C91" s="78">
        <v>554047.0</v>
      </c>
      <c r="D91" s="78">
        <v>708057.0</v>
      </c>
      <c r="E91" s="78">
        <v>344937.0</v>
      </c>
      <c r="F91" s="79">
        <f t="shared" si="1"/>
        <v>2899059</v>
      </c>
      <c r="G91" s="13"/>
    </row>
    <row r="92">
      <c r="A92" s="13">
        <v>330.0</v>
      </c>
      <c r="B92" s="54">
        <v>219.0</v>
      </c>
      <c r="C92" s="54">
        <v>103.0</v>
      </c>
      <c r="D92" s="54">
        <v>137.0</v>
      </c>
      <c r="E92" s="54">
        <v>70.0</v>
      </c>
      <c r="F92" s="80">
        <f t="shared" si="1"/>
        <v>529</v>
      </c>
      <c r="G92" s="13"/>
    </row>
    <row r="93">
      <c r="A93" s="13">
        <v>344.0</v>
      </c>
      <c r="B93" s="78">
        <v>137615.0</v>
      </c>
      <c r="C93" s="78">
        <v>33985.0</v>
      </c>
      <c r="D93" s="78">
        <v>79601.0</v>
      </c>
      <c r="E93" s="78">
        <v>34428.0</v>
      </c>
      <c r="F93" s="79">
        <f t="shared" si="1"/>
        <v>285629</v>
      </c>
      <c r="G93" s="13"/>
    </row>
    <row r="94">
      <c r="A94" s="13">
        <v>35.0</v>
      </c>
      <c r="B94" s="78">
        <v>329634.0</v>
      </c>
      <c r="C94" s="78">
        <v>193735.0</v>
      </c>
      <c r="D94" s="78">
        <v>203973.0</v>
      </c>
      <c r="E94" s="78">
        <v>102001.0</v>
      </c>
      <c r="F94" s="79">
        <f t="shared" si="1"/>
        <v>829343</v>
      </c>
      <c r="G94" s="13"/>
    </row>
    <row r="95">
      <c r="A95" s="13">
        <v>355.0</v>
      </c>
      <c r="B95" s="54">
        <v>11.0</v>
      </c>
      <c r="C95" s="54">
        <v>12.0</v>
      </c>
      <c r="D95" s="54">
        <v>7.0</v>
      </c>
      <c r="E95" s="54">
        <v>21.0</v>
      </c>
      <c r="F95" s="80">
        <f t="shared" si="1"/>
        <v>51</v>
      </c>
      <c r="G95" s="13"/>
    </row>
    <row r="96">
      <c r="A96" s="13">
        <v>37.0</v>
      </c>
      <c r="B96" s="78">
        <v>8543.0</v>
      </c>
      <c r="C96" s="78">
        <v>5150.0</v>
      </c>
      <c r="D96" s="78">
        <v>7085.0</v>
      </c>
      <c r="E96" s="78">
        <v>3016.0</v>
      </c>
      <c r="F96" s="79">
        <f t="shared" si="1"/>
        <v>23794</v>
      </c>
      <c r="G96" s="13"/>
    </row>
    <row r="97">
      <c r="A97" s="13">
        <v>38.0</v>
      </c>
      <c r="B97" s="78">
        <v>6818.0</v>
      </c>
      <c r="C97" s="78">
        <v>3659.0</v>
      </c>
      <c r="D97" s="78">
        <v>4269.0</v>
      </c>
      <c r="E97" s="78">
        <v>2115.0</v>
      </c>
      <c r="F97" s="79">
        <f t="shared" si="1"/>
        <v>16861</v>
      </c>
      <c r="G97" s="13"/>
    </row>
    <row r="98">
      <c r="A98" s="13">
        <v>4.0</v>
      </c>
      <c r="B98" s="78">
        <v>1023451.0</v>
      </c>
      <c r="C98" s="78">
        <v>539367.0</v>
      </c>
      <c r="D98" s="78">
        <v>1186421.0</v>
      </c>
      <c r="E98" s="78">
        <v>452817.0</v>
      </c>
      <c r="F98" s="79">
        <f t="shared" si="1"/>
        <v>3202056</v>
      </c>
      <c r="G98" s="13"/>
    </row>
    <row r="99">
      <c r="A99" s="13">
        <v>40.0</v>
      </c>
      <c r="B99" s="78">
        <v>966300.0</v>
      </c>
      <c r="C99" s="78">
        <v>290577.0</v>
      </c>
      <c r="D99" s="78">
        <v>445654.0</v>
      </c>
      <c r="E99" s="78">
        <v>233742.0</v>
      </c>
      <c r="F99" s="79">
        <f t="shared" si="1"/>
        <v>1936273</v>
      </c>
      <c r="G99" s="13"/>
    </row>
    <row r="100">
      <c r="A100" s="13">
        <v>45.0</v>
      </c>
      <c r="B100" s="78">
        <v>830856.0</v>
      </c>
      <c r="C100" s="78">
        <v>345478.0</v>
      </c>
      <c r="D100" s="78">
        <v>419229.0</v>
      </c>
      <c r="E100" s="78">
        <v>211530.0</v>
      </c>
      <c r="F100" s="79">
        <f t="shared" si="1"/>
        <v>1807093</v>
      </c>
      <c r="G100" s="13"/>
    </row>
    <row r="101">
      <c r="A101" s="13">
        <v>450.0</v>
      </c>
      <c r="B101" s="54">
        <v>72.0</v>
      </c>
      <c r="C101" s="54">
        <v>35.0</v>
      </c>
      <c r="D101" s="54">
        <v>72.0</v>
      </c>
      <c r="E101" s="54">
        <v>51.0</v>
      </c>
      <c r="F101" s="80">
        <f t="shared" si="1"/>
        <v>230</v>
      </c>
      <c r="G101" s="13"/>
    </row>
    <row r="102">
      <c r="A102" s="13">
        <v>460.0</v>
      </c>
      <c r="B102" s="78">
        <v>285748.0</v>
      </c>
      <c r="C102" s="78">
        <v>76222.0</v>
      </c>
      <c r="D102" s="78">
        <v>205942.0</v>
      </c>
      <c r="E102" s="78">
        <v>97801.0</v>
      </c>
      <c r="F102" s="79">
        <f t="shared" si="1"/>
        <v>665713</v>
      </c>
      <c r="G102" s="13"/>
    </row>
    <row r="103">
      <c r="A103" s="13">
        <v>48.0</v>
      </c>
      <c r="B103" s="78">
        <v>17173.0</v>
      </c>
      <c r="C103" s="78">
        <v>8707.0</v>
      </c>
      <c r="D103" s="78">
        <v>11792.0</v>
      </c>
      <c r="E103" s="78">
        <v>4350.0</v>
      </c>
      <c r="F103" s="79">
        <f t="shared" si="1"/>
        <v>42022</v>
      </c>
      <c r="G103" s="13"/>
    </row>
    <row r="104">
      <c r="A104" s="13">
        <v>487.0</v>
      </c>
      <c r="B104" s="78">
        <v>59364.0</v>
      </c>
      <c r="C104" s="78">
        <v>30815.0</v>
      </c>
      <c r="D104" s="78">
        <v>123853.0</v>
      </c>
      <c r="E104" s="78">
        <v>30425.0</v>
      </c>
      <c r="F104" s="79">
        <f t="shared" si="1"/>
        <v>244457</v>
      </c>
      <c r="G104" s="13"/>
    </row>
    <row r="105">
      <c r="A105" s="13">
        <v>489.0</v>
      </c>
      <c r="B105" s="78">
        <v>3563.0</v>
      </c>
      <c r="C105" s="78">
        <v>2381.0</v>
      </c>
      <c r="D105" s="78">
        <v>6607.0</v>
      </c>
      <c r="E105" s="78">
        <v>1628.0</v>
      </c>
      <c r="F105" s="79">
        <f t="shared" si="1"/>
        <v>14179</v>
      </c>
      <c r="G105" s="13"/>
    </row>
    <row r="106">
      <c r="A106" s="13">
        <v>501.0</v>
      </c>
      <c r="B106" s="78">
        <v>112232.0</v>
      </c>
      <c r="C106" s="78">
        <v>49102.0</v>
      </c>
      <c r="D106" s="78">
        <v>120231.0</v>
      </c>
      <c r="E106" s="78">
        <v>69638.0</v>
      </c>
      <c r="F106" s="79">
        <f t="shared" si="1"/>
        <v>351203</v>
      </c>
      <c r="G106" s="13"/>
    </row>
    <row r="107">
      <c r="A107" s="13">
        <v>51.0</v>
      </c>
      <c r="B107" s="78">
        <v>1242253.0</v>
      </c>
      <c r="C107" s="78">
        <v>468931.0</v>
      </c>
      <c r="D107" s="78">
        <v>464947.0</v>
      </c>
      <c r="E107" s="78">
        <v>262355.0</v>
      </c>
      <c r="F107" s="79">
        <f t="shared" si="1"/>
        <v>2438486</v>
      </c>
      <c r="G107" s="13"/>
    </row>
    <row r="108">
      <c r="A108" s="13">
        <v>52.0</v>
      </c>
      <c r="B108" s="54">
        <v>163.0</v>
      </c>
      <c r="C108" s="54">
        <v>100.0</v>
      </c>
      <c r="D108" s="54">
        <v>83.0</v>
      </c>
      <c r="E108" s="54">
        <v>53.0</v>
      </c>
      <c r="F108" s="80">
        <f t="shared" si="1"/>
        <v>399</v>
      </c>
      <c r="G108" s="13"/>
    </row>
    <row r="109">
      <c r="A109" s="13">
        <v>53.0</v>
      </c>
      <c r="B109" s="78">
        <v>645930.0</v>
      </c>
      <c r="C109" s="78">
        <v>276317.0</v>
      </c>
      <c r="D109" s="78">
        <v>270686.0</v>
      </c>
      <c r="E109" s="78">
        <v>158856.0</v>
      </c>
      <c r="F109" s="79">
        <f t="shared" si="1"/>
        <v>1351789</v>
      </c>
      <c r="G109" s="13"/>
    </row>
    <row r="110">
      <c r="A110" s="13">
        <v>55.0</v>
      </c>
      <c r="B110" s="78">
        <v>536093.0</v>
      </c>
      <c r="C110" s="78">
        <v>284199.0</v>
      </c>
      <c r="D110" s="78">
        <v>226119.0</v>
      </c>
      <c r="E110" s="78">
        <v>124382.0</v>
      </c>
      <c r="F110" s="79">
        <f t="shared" si="1"/>
        <v>1170793</v>
      </c>
      <c r="G110" s="13"/>
    </row>
    <row r="111">
      <c r="A111" s="13">
        <v>550.0</v>
      </c>
      <c r="B111" s="78">
        <v>13215.0</v>
      </c>
      <c r="C111" s="78">
        <v>10785.0</v>
      </c>
      <c r="D111" s="78">
        <v>25774.0</v>
      </c>
      <c r="E111" s="78">
        <v>15165.0</v>
      </c>
      <c r="F111" s="79">
        <f t="shared" si="1"/>
        <v>64939</v>
      </c>
      <c r="G111" s="13"/>
    </row>
    <row r="112">
      <c r="A112" s="13">
        <v>577.0</v>
      </c>
      <c r="B112" s="78">
        <v>31975.0</v>
      </c>
      <c r="C112" s="78">
        <v>17203.0</v>
      </c>
      <c r="D112" s="78">
        <v>52572.0</v>
      </c>
      <c r="E112" s="78">
        <v>27284.0</v>
      </c>
      <c r="F112" s="79">
        <f t="shared" si="1"/>
        <v>129034</v>
      </c>
      <c r="G112" s="13"/>
    </row>
    <row r="113">
      <c r="A113" s="13">
        <v>60.0</v>
      </c>
      <c r="B113" s="78">
        <v>1084451.0</v>
      </c>
      <c r="C113" s="78">
        <v>352515.0</v>
      </c>
      <c r="D113" s="78">
        <v>472397.0</v>
      </c>
      <c r="E113" s="78">
        <v>312301.0</v>
      </c>
      <c r="F113" s="79">
        <f t="shared" si="1"/>
        <v>2221664</v>
      </c>
      <c r="G113" s="13"/>
    </row>
    <row r="114">
      <c r="A114" s="13">
        <v>600.0</v>
      </c>
      <c r="B114" s="78">
        <v>1056.0</v>
      </c>
      <c r="C114" s="54">
        <v>344.0</v>
      </c>
      <c r="D114" s="54">
        <v>519.0</v>
      </c>
      <c r="E114" s="54">
        <v>335.0</v>
      </c>
      <c r="F114" s="79">
        <f t="shared" si="1"/>
        <v>2254</v>
      </c>
      <c r="G114" s="13"/>
    </row>
    <row r="115">
      <c r="A115" s="13">
        <v>601.0</v>
      </c>
      <c r="B115" s="78">
        <v>9385.0</v>
      </c>
      <c r="C115" s="78">
        <v>5360.0</v>
      </c>
      <c r="D115" s="78">
        <v>9492.0</v>
      </c>
      <c r="E115" s="78">
        <v>5544.0</v>
      </c>
      <c r="F115" s="79">
        <f t="shared" si="1"/>
        <v>29781</v>
      </c>
      <c r="G115" s="13"/>
    </row>
    <row r="116">
      <c r="A116" s="13">
        <v>602.0</v>
      </c>
      <c r="B116" s="78">
        <v>21874.0</v>
      </c>
      <c r="C116" s="78">
        <v>7074.0</v>
      </c>
      <c r="D116" s="78">
        <v>27159.0</v>
      </c>
      <c r="E116" s="78">
        <v>12476.0</v>
      </c>
      <c r="F116" s="79">
        <f t="shared" si="1"/>
        <v>68583</v>
      </c>
      <c r="G116" s="13"/>
    </row>
    <row r="117">
      <c r="A117" s="13">
        <v>603.0</v>
      </c>
      <c r="B117" s="78">
        <v>246018.0</v>
      </c>
      <c r="C117" s="78">
        <v>131877.0</v>
      </c>
      <c r="D117" s="78">
        <v>143515.0</v>
      </c>
      <c r="E117" s="78">
        <v>55501.0</v>
      </c>
      <c r="F117" s="79">
        <f t="shared" si="1"/>
        <v>576911</v>
      </c>
      <c r="G117" s="13"/>
    </row>
    <row r="118">
      <c r="A118" s="13">
        <v>605.0</v>
      </c>
      <c r="B118" s="78">
        <v>152416.0</v>
      </c>
      <c r="C118" s="78">
        <v>105004.0</v>
      </c>
      <c r="D118" s="78">
        <v>87520.0</v>
      </c>
      <c r="E118" s="78">
        <v>38980.0</v>
      </c>
      <c r="F118" s="79">
        <f t="shared" si="1"/>
        <v>383920</v>
      </c>
      <c r="G118" s="13"/>
    </row>
    <row r="119">
      <c r="A119" s="13">
        <v>607.0</v>
      </c>
      <c r="B119" s="54">
        <v>64.0</v>
      </c>
      <c r="C119" s="54">
        <v>25.0</v>
      </c>
      <c r="D119" s="54">
        <v>30.0</v>
      </c>
      <c r="E119" s="54">
        <v>22.0</v>
      </c>
      <c r="F119" s="80">
        <f t="shared" si="1"/>
        <v>141</v>
      </c>
      <c r="G119" s="13"/>
    </row>
    <row r="120">
      <c r="A120" s="13">
        <v>611.0</v>
      </c>
      <c r="B120" s="78">
        <v>114512.0</v>
      </c>
      <c r="C120" s="78">
        <v>41835.0</v>
      </c>
      <c r="D120" s="78">
        <v>51069.0</v>
      </c>
      <c r="E120" s="78">
        <v>24819.0</v>
      </c>
      <c r="F120" s="79">
        <f t="shared" si="1"/>
        <v>232235</v>
      </c>
      <c r="G120" s="13"/>
    </row>
    <row r="121">
      <c r="A121" s="13">
        <v>617.0</v>
      </c>
      <c r="B121" s="78">
        <v>34811.0</v>
      </c>
      <c r="C121" s="78">
        <v>17313.0</v>
      </c>
      <c r="D121" s="78">
        <v>44591.0</v>
      </c>
      <c r="E121" s="78">
        <v>17234.0</v>
      </c>
      <c r="F121" s="79">
        <f t="shared" si="1"/>
        <v>113949</v>
      </c>
      <c r="G121" s="13"/>
    </row>
    <row r="122">
      <c r="A122" s="13">
        <v>62.0</v>
      </c>
      <c r="B122" s="78">
        <v>287224.0</v>
      </c>
      <c r="C122" s="78">
        <v>77996.0</v>
      </c>
      <c r="D122" s="78">
        <v>135730.0</v>
      </c>
      <c r="E122" s="78">
        <v>62676.0</v>
      </c>
      <c r="F122" s="79">
        <f t="shared" si="1"/>
        <v>563626</v>
      </c>
      <c r="G122" s="13"/>
    </row>
    <row r="123">
      <c r="A123" s="13">
        <v>620.0</v>
      </c>
      <c r="B123" s="54">
        <v>56.0</v>
      </c>
      <c r="C123" s="54">
        <v>20.0</v>
      </c>
      <c r="D123" s="54">
        <v>35.0</v>
      </c>
      <c r="E123" s="54">
        <v>19.0</v>
      </c>
      <c r="F123" s="80">
        <f t="shared" si="1"/>
        <v>130</v>
      </c>
      <c r="G123" s="13"/>
    </row>
    <row r="124">
      <c r="A124" s="13">
        <v>656.0</v>
      </c>
      <c r="B124" s="54">
        <v>18.0</v>
      </c>
      <c r="C124" s="54">
        <v>9.0</v>
      </c>
      <c r="D124" s="54">
        <v>3.0</v>
      </c>
      <c r="E124" s="54">
        <v>7.0</v>
      </c>
      <c r="F124" s="80">
        <f t="shared" si="1"/>
        <v>37</v>
      </c>
      <c r="G124" s="13"/>
    </row>
    <row r="125">
      <c r="A125" s="13">
        <v>66.0</v>
      </c>
      <c r="B125" s="78">
        <v>850362.0</v>
      </c>
      <c r="C125" s="78">
        <v>366152.0</v>
      </c>
      <c r="D125" s="78">
        <v>378328.0</v>
      </c>
      <c r="E125" s="78">
        <v>188454.0</v>
      </c>
      <c r="F125" s="79">
        <f t="shared" si="1"/>
        <v>1783296</v>
      </c>
      <c r="G125" s="13"/>
    </row>
    <row r="126">
      <c r="A126" s="13">
        <v>660.0</v>
      </c>
      <c r="B126" s="78">
        <v>47454.0</v>
      </c>
      <c r="C126" s="78">
        <v>16212.0</v>
      </c>
      <c r="D126" s="78">
        <v>39499.0</v>
      </c>
      <c r="E126" s="78">
        <v>17634.0</v>
      </c>
      <c r="F126" s="79">
        <f t="shared" si="1"/>
        <v>120799</v>
      </c>
      <c r="G126" s="13"/>
    </row>
    <row r="127">
      <c r="A127" s="13">
        <v>662.0</v>
      </c>
      <c r="B127" s="78">
        <v>115893.0</v>
      </c>
      <c r="C127" s="78">
        <v>54852.0</v>
      </c>
      <c r="D127" s="78">
        <v>107707.0</v>
      </c>
      <c r="E127" s="78">
        <v>32527.0</v>
      </c>
      <c r="F127" s="79">
        <f t="shared" si="1"/>
        <v>310979</v>
      </c>
      <c r="G127" s="13"/>
    </row>
    <row r="128">
      <c r="A128" s="13">
        <v>665.0</v>
      </c>
      <c r="B128" s="78">
        <v>58482.0</v>
      </c>
      <c r="C128" s="78">
        <v>33922.0</v>
      </c>
      <c r="D128" s="78">
        <v>40836.0</v>
      </c>
      <c r="E128" s="78">
        <v>14601.0</v>
      </c>
      <c r="F128" s="79">
        <f t="shared" si="1"/>
        <v>147841</v>
      </c>
      <c r="G128" s="13"/>
    </row>
    <row r="129">
      <c r="A129" s="13">
        <v>68.0</v>
      </c>
      <c r="B129" s="54">
        <v>67.0</v>
      </c>
      <c r="C129" s="54">
        <v>33.0</v>
      </c>
      <c r="D129" s="54">
        <v>56.0</v>
      </c>
      <c r="E129" s="54">
        <v>32.0</v>
      </c>
      <c r="F129" s="80">
        <f t="shared" si="1"/>
        <v>188</v>
      </c>
      <c r="G129" s="13"/>
    </row>
    <row r="130">
      <c r="A130" s="13">
        <v>690.0</v>
      </c>
      <c r="B130" s="78">
        <v>107157.0</v>
      </c>
      <c r="C130" s="78">
        <v>33088.0</v>
      </c>
      <c r="D130" s="78">
        <v>30594.0</v>
      </c>
      <c r="E130" s="78">
        <v>13170.0</v>
      </c>
      <c r="F130" s="79">
        <f t="shared" si="1"/>
        <v>184009</v>
      </c>
      <c r="G130" s="13"/>
    </row>
    <row r="131">
      <c r="A131" s="13">
        <v>70.0</v>
      </c>
      <c r="B131" s="78">
        <v>1177421.0</v>
      </c>
      <c r="C131" s="78">
        <v>498934.0</v>
      </c>
      <c r="D131" s="78">
        <v>955414.0</v>
      </c>
      <c r="E131" s="78">
        <v>348851.0</v>
      </c>
      <c r="F131" s="79">
        <f t="shared" si="1"/>
        <v>2980620</v>
      </c>
      <c r="G131" s="13"/>
    </row>
    <row r="132">
      <c r="A132" s="13">
        <v>704.0</v>
      </c>
      <c r="B132" s="54">
        <v>107.0</v>
      </c>
      <c r="C132" s="54">
        <v>59.0</v>
      </c>
      <c r="D132" s="54">
        <v>85.0</v>
      </c>
      <c r="E132" s="54">
        <v>45.0</v>
      </c>
      <c r="F132" s="80">
        <f t="shared" si="1"/>
        <v>296</v>
      </c>
      <c r="G132" s="13"/>
    </row>
    <row r="133">
      <c r="A133" s="13">
        <v>71.0</v>
      </c>
      <c r="B133" s="54">
        <v>122.0</v>
      </c>
      <c r="C133" s="54">
        <v>46.0</v>
      </c>
      <c r="D133" s="54">
        <v>72.0</v>
      </c>
      <c r="E133" s="54">
        <v>38.0</v>
      </c>
      <c r="F133" s="80">
        <f t="shared" si="1"/>
        <v>278</v>
      </c>
      <c r="G133" s="13"/>
    </row>
    <row r="134">
      <c r="A134" s="13">
        <v>720.0</v>
      </c>
      <c r="B134" s="78">
        <v>671746.0</v>
      </c>
      <c r="C134" s="78">
        <v>317265.0</v>
      </c>
      <c r="D134" s="78">
        <v>733659.0</v>
      </c>
      <c r="E134" s="78">
        <v>313642.0</v>
      </c>
      <c r="F134" s="79">
        <f t="shared" si="1"/>
        <v>2036312</v>
      </c>
      <c r="G134" s="13"/>
    </row>
    <row r="135">
      <c r="A135" s="13">
        <v>728.0</v>
      </c>
      <c r="B135" s="54">
        <v>265.0</v>
      </c>
      <c r="C135" s="54">
        <v>144.0</v>
      </c>
      <c r="D135" s="54">
        <v>297.0</v>
      </c>
      <c r="E135" s="54">
        <v>157.0</v>
      </c>
      <c r="F135" s="80">
        <f t="shared" si="1"/>
        <v>863</v>
      </c>
      <c r="G135" s="13"/>
    </row>
    <row r="136">
      <c r="A136" s="13">
        <v>74.0</v>
      </c>
      <c r="B136" s="78">
        <v>9196.0</v>
      </c>
      <c r="C136" s="78">
        <v>5351.0</v>
      </c>
      <c r="D136" s="78">
        <v>8699.0</v>
      </c>
      <c r="E136" s="78">
        <v>3682.0</v>
      </c>
      <c r="F136" s="79">
        <f t="shared" si="1"/>
        <v>26928</v>
      </c>
      <c r="G136" s="13"/>
    </row>
    <row r="137">
      <c r="A137" s="13">
        <v>750.0</v>
      </c>
      <c r="B137" s="54">
        <v>170.0</v>
      </c>
      <c r="C137" s="54">
        <v>59.0</v>
      </c>
      <c r="D137" s="54">
        <v>144.0</v>
      </c>
      <c r="E137" s="54">
        <v>50.0</v>
      </c>
      <c r="F137" s="80">
        <f t="shared" si="1"/>
        <v>423</v>
      </c>
      <c r="G137" s="13"/>
    </row>
    <row r="138">
      <c r="A138" s="13">
        <v>751.0</v>
      </c>
      <c r="B138" s="54">
        <v>154.0</v>
      </c>
      <c r="C138" s="54">
        <v>47.0</v>
      </c>
      <c r="D138" s="54">
        <v>118.0</v>
      </c>
      <c r="E138" s="54">
        <v>55.0</v>
      </c>
      <c r="F138" s="80">
        <f t="shared" si="1"/>
        <v>374</v>
      </c>
      <c r="G138" s="13"/>
    </row>
    <row r="139">
      <c r="A139" s="13">
        <v>754.0</v>
      </c>
      <c r="B139" s="78">
        <v>430241.0</v>
      </c>
      <c r="C139" s="78">
        <v>256893.0</v>
      </c>
      <c r="D139" s="78">
        <v>358126.0</v>
      </c>
      <c r="E139" s="78">
        <v>235962.0</v>
      </c>
      <c r="F139" s="79">
        <f t="shared" si="1"/>
        <v>1281222</v>
      </c>
      <c r="G139" s="13"/>
    </row>
    <row r="140">
      <c r="A140" s="13">
        <v>757.0</v>
      </c>
      <c r="B140" s="54">
        <v>16.0</v>
      </c>
      <c r="C140" s="54">
        <v>12.0</v>
      </c>
      <c r="D140" s="54">
        <v>16.0</v>
      </c>
      <c r="E140" s="54">
        <v>5.0</v>
      </c>
      <c r="F140" s="80">
        <f t="shared" si="1"/>
        <v>49</v>
      </c>
      <c r="G140" s="13"/>
    </row>
    <row r="141">
      <c r="A141" s="13">
        <v>76.0</v>
      </c>
      <c r="B141" s="78">
        <v>527244.0</v>
      </c>
      <c r="C141" s="78">
        <v>178121.0</v>
      </c>
      <c r="D141" s="78">
        <v>474030.0</v>
      </c>
      <c r="E141" s="78">
        <v>167281.0</v>
      </c>
      <c r="F141" s="79">
        <f t="shared" si="1"/>
        <v>1346676</v>
      </c>
      <c r="G141" s="13"/>
    </row>
    <row r="142">
      <c r="A142" s="13">
        <v>761.0</v>
      </c>
      <c r="B142" s="78">
        <v>460444.0</v>
      </c>
      <c r="C142" s="78">
        <v>144416.0</v>
      </c>
      <c r="D142" s="78">
        <v>339404.0</v>
      </c>
      <c r="E142" s="78">
        <v>165900.0</v>
      </c>
      <c r="F142" s="79">
        <f t="shared" si="1"/>
        <v>1110164</v>
      </c>
      <c r="G142" s="13"/>
    </row>
    <row r="143">
      <c r="A143" s="13">
        <v>762.0</v>
      </c>
      <c r="B143" s="54">
        <v>358.0</v>
      </c>
      <c r="C143" s="54">
        <v>116.0</v>
      </c>
      <c r="D143" s="54">
        <v>226.0</v>
      </c>
      <c r="E143" s="54">
        <v>122.0</v>
      </c>
      <c r="F143" s="80">
        <f t="shared" si="1"/>
        <v>822</v>
      </c>
      <c r="G143" s="13"/>
    </row>
    <row r="144">
      <c r="A144" s="13">
        <v>770.0</v>
      </c>
      <c r="B144" s="54">
        <v>194.0</v>
      </c>
      <c r="C144" s="54">
        <v>76.0</v>
      </c>
      <c r="D144" s="54">
        <v>127.0</v>
      </c>
      <c r="E144" s="54">
        <v>60.0</v>
      </c>
      <c r="F144" s="80">
        <f t="shared" si="1"/>
        <v>457</v>
      </c>
      <c r="G144" s="13"/>
    </row>
    <row r="145">
      <c r="A145" s="13">
        <v>78.0</v>
      </c>
      <c r="B145" s="78">
        <v>484841.0</v>
      </c>
      <c r="C145" s="78">
        <v>212169.0</v>
      </c>
      <c r="D145" s="78">
        <v>483307.0</v>
      </c>
      <c r="E145" s="78">
        <v>211116.0</v>
      </c>
      <c r="F145" s="79">
        <f t="shared" si="1"/>
        <v>1391433</v>
      </c>
      <c r="G145" s="13"/>
    </row>
    <row r="146">
      <c r="A146" s="13">
        <v>780.0</v>
      </c>
      <c r="B146" s="54">
        <v>1.0</v>
      </c>
      <c r="C146" s="13"/>
      <c r="D146" s="13"/>
      <c r="E146" s="13"/>
      <c r="F146" s="80">
        <f t="shared" si="1"/>
        <v>1</v>
      </c>
      <c r="G146" s="13"/>
    </row>
    <row r="147">
      <c r="A147" s="13">
        <v>788.0</v>
      </c>
      <c r="B147" s="54">
        <v>209.0</v>
      </c>
      <c r="C147" s="54">
        <v>85.0</v>
      </c>
      <c r="D147" s="54">
        <v>227.0</v>
      </c>
      <c r="E147" s="54">
        <v>94.0</v>
      </c>
      <c r="F147" s="80">
        <f t="shared" si="1"/>
        <v>615</v>
      </c>
      <c r="G147" s="13"/>
    </row>
    <row r="148">
      <c r="A148" s="13">
        <v>79.0</v>
      </c>
      <c r="B148" s="54">
        <v>114.0</v>
      </c>
      <c r="C148" s="54">
        <v>22.0</v>
      </c>
      <c r="D148" s="54">
        <v>77.0</v>
      </c>
      <c r="E148" s="54">
        <v>29.0</v>
      </c>
      <c r="F148" s="80">
        <f t="shared" si="1"/>
        <v>242</v>
      </c>
      <c r="G148" s="13"/>
    </row>
    <row r="149">
      <c r="A149" s="13">
        <v>81.0</v>
      </c>
      <c r="B149" s="78">
        <v>663761.0</v>
      </c>
      <c r="C149" s="78">
        <v>275004.0</v>
      </c>
      <c r="D149" s="78">
        <v>404003.0</v>
      </c>
      <c r="E149" s="78">
        <v>180361.0</v>
      </c>
      <c r="F149" s="79">
        <f t="shared" si="1"/>
        <v>1523129</v>
      </c>
      <c r="G149" s="13"/>
    </row>
    <row r="150">
      <c r="A150" s="13">
        <v>83.0</v>
      </c>
      <c r="B150" s="54">
        <v>44.0</v>
      </c>
      <c r="C150" s="54">
        <v>24.0</v>
      </c>
      <c r="D150" s="54">
        <v>18.0</v>
      </c>
      <c r="E150" s="54">
        <v>14.0</v>
      </c>
      <c r="F150" s="80">
        <f t="shared" si="1"/>
        <v>100</v>
      </c>
      <c r="G150" s="13"/>
    </row>
    <row r="151">
      <c r="A151" s="13">
        <v>90.0</v>
      </c>
      <c r="B151" s="78">
        <v>557095.0</v>
      </c>
      <c r="C151" s="78">
        <v>208443.0</v>
      </c>
      <c r="D151" s="78">
        <v>325644.0</v>
      </c>
      <c r="E151" s="78">
        <v>153892.0</v>
      </c>
      <c r="F151" s="79">
        <f t="shared" si="1"/>
        <v>1245074</v>
      </c>
      <c r="G151" s="13"/>
    </row>
    <row r="152">
      <c r="A152" s="13">
        <v>91.0</v>
      </c>
      <c r="B152" s="54">
        <v>223.0</v>
      </c>
      <c r="C152" s="54">
        <v>177.0</v>
      </c>
      <c r="D152" s="54">
        <v>413.0</v>
      </c>
      <c r="E152" s="54">
        <v>248.0</v>
      </c>
      <c r="F152" s="80">
        <f t="shared" si="1"/>
        <v>1061</v>
      </c>
      <c r="G152" s="13"/>
    </row>
    <row r="153">
      <c r="A153" s="54" t="s">
        <v>40</v>
      </c>
      <c r="B153" s="78">
        <v>346332.0</v>
      </c>
      <c r="C153" s="78">
        <v>282764.0</v>
      </c>
      <c r="D153" s="78">
        <v>701957.0</v>
      </c>
      <c r="E153" s="78">
        <v>455213.0</v>
      </c>
      <c r="F153" s="79">
        <f t="shared" si="1"/>
        <v>1786266</v>
      </c>
      <c r="G153" s="13"/>
    </row>
    <row r="154">
      <c r="A154" s="13">
        <v>92.0</v>
      </c>
      <c r="B154" s="78">
        <v>560561.0</v>
      </c>
      <c r="C154" s="78">
        <v>194721.0</v>
      </c>
      <c r="D154" s="78">
        <v>339518.0</v>
      </c>
      <c r="E154" s="78">
        <v>124856.0</v>
      </c>
      <c r="F154" s="79">
        <f t="shared" si="1"/>
        <v>1219656</v>
      </c>
      <c r="G154" s="13"/>
    </row>
    <row r="155">
      <c r="A155" s="13">
        <v>93.0</v>
      </c>
      <c r="B155" s="78">
        <v>263434.0</v>
      </c>
      <c r="C155" s="78">
        <v>134911.0</v>
      </c>
      <c r="D155" s="78">
        <v>159362.0</v>
      </c>
      <c r="E155" s="78">
        <v>79440.0</v>
      </c>
      <c r="F155" s="79">
        <f t="shared" si="1"/>
        <v>637147</v>
      </c>
      <c r="G155" s="13"/>
    </row>
    <row r="156">
      <c r="A156" s="13">
        <v>94.0</v>
      </c>
      <c r="B156" s="78">
        <v>524899.0</v>
      </c>
      <c r="C156" s="78">
        <v>201626.0</v>
      </c>
      <c r="D156" s="78">
        <v>442014.0</v>
      </c>
      <c r="E156" s="78">
        <v>213244.0</v>
      </c>
      <c r="F156" s="79">
        <f t="shared" si="1"/>
        <v>1381783</v>
      </c>
      <c r="G156" s="13"/>
    </row>
    <row r="157">
      <c r="A157" s="13">
        <v>96.0</v>
      </c>
      <c r="B157" s="54">
        <v>444.0</v>
      </c>
      <c r="C157" s="54">
        <v>286.0</v>
      </c>
      <c r="D157" s="54">
        <v>355.0</v>
      </c>
      <c r="E157" s="54">
        <v>167.0</v>
      </c>
      <c r="F157" s="80">
        <f t="shared" si="1"/>
        <v>1252</v>
      </c>
      <c r="G157" s="13"/>
    </row>
    <row r="158">
      <c r="A158" s="54" t="s">
        <v>238</v>
      </c>
      <c r="B158" s="54">
        <v>518.0</v>
      </c>
      <c r="C158" s="78">
        <v>10591.0</v>
      </c>
      <c r="D158" s="78">
        <v>20520.0</v>
      </c>
      <c r="E158" s="78">
        <v>9711.0</v>
      </c>
      <c r="F158" s="80">
        <f t="shared" si="1"/>
        <v>41340</v>
      </c>
      <c r="G158" s="13"/>
    </row>
    <row r="159">
      <c r="A159" s="81" t="s">
        <v>284</v>
      </c>
      <c r="B159" s="82">
        <f t="shared" ref="B159:F159" si="2">SUM(B2:B158)</f>
        <v>47545461</v>
      </c>
      <c r="C159" s="82">
        <f t="shared" si="2"/>
        <v>19765927</v>
      </c>
      <c r="D159" s="82">
        <f t="shared" si="2"/>
        <v>30211729</v>
      </c>
      <c r="E159" s="82">
        <f t="shared" si="2"/>
        <v>14787667</v>
      </c>
      <c r="F159" s="82">
        <f t="shared" si="2"/>
        <v>112310784</v>
      </c>
      <c r="G159" s="13"/>
    </row>
    <row r="160">
      <c r="B160" s="51" t="s">
        <v>21</v>
      </c>
      <c r="C160" s="50">
        <v>4218880.0</v>
      </c>
      <c r="D160" s="50">
        <v>1.6359552E7</v>
      </c>
      <c r="E160" s="50">
        <v>6180192.0</v>
      </c>
    </row>
    <row r="161">
      <c r="C161" s="50">
        <f t="shared" ref="C161:E161" si="3">SUM(C159:C160)</f>
        <v>23984807</v>
      </c>
      <c r="D161" s="50">
        <f t="shared" si="3"/>
        <v>46571281</v>
      </c>
      <c r="E161" s="50">
        <f t="shared" si="3"/>
        <v>20967859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5" max="5" width="15.38"/>
    <col customWidth="1" min="11" max="11" width="15.5"/>
    <col customWidth="1" min="17" max="17" width="15.38"/>
  </cols>
  <sheetData>
    <row r="1">
      <c r="A1" s="83" t="s">
        <v>285</v>
      </c>
      <c r="B1" s="83" t="s">
        <v>280</v>
      </c>
      <c r="C1" s="83" t="s">
        <v>281</v>
      </c>
      <c r="D1" s="83" t="s">
        <v>286</v>
      </c>
      <c r="E1" s="83" t="s">
        <v>287</v>
      </c>
      <c r="F1" s="57"/>
      <c r="G1" s="83" t="s">
        <v>288</v>
      </c>
      <c r="H1" s="83" t="s">
        <v>280</v>
      </c>
      <c r="I1" s="83" t="s">
        <v>281</v>
      </c>
      <c r="J1" s="83" t="s">
        <v>286</v>
      </c>
      <c r="K1" s="83" t="s">
        <v>287</v>
      </c>
      <c r="M1" s="83" t="s">
        <v>289</v>
      </c>
      <c r="N1" s="83" t="s">
        <v>280</v>
      </c>
      <c r="O1" s="83" t="s">
        <v>281</v>
      </c>
      <c r="P1" s="83" t="s">
        <v>286</v>
      </c>
      <c r="Q1" s="83" t="s">
        <v>287</v>
      </c>
    </row>
    <row r="2">
      <c r="A2" s="54" t="s">
        <v>50</v>
      </c>
      <c r="B2" s="78">
        <v>30985.0</v>
      </c>
      <c r="C2" s="78">
        <v>62736.0</v>
      </c>
      <c r="D2" s="78">
        <v>17805.0</v>
      </c>
      <c r="E2" s="84">
        <f t="shared" ref="E2:E113" si="1">SUM(B2:D2)</f>
        <v>111526</v>
      </c>
      <c r="F2" s="57"/>
      <c r="G2" s="54" t="s">
        <v>290</v>
      </c>
      <c r="H2" s="78">
        <v>7552.0</v>
      </c>
      <c r="I2" s="78">
        <v>18896.0</v>
      </c>
      <c r="J2" s="78">
        <v>6352.0</v>
      </c>
      <c r="K2" s="84">
        <f t="shared" ref="K2:K19" si="2">SUM(H2:J2)</f>
        <v>32800</v>
      </c>
      <c r="M2" s="54" t="s">
        <v>291</v>
      </c>
      <c r="N2" s="54">
        <v>109.0</v>
      </c>
      <c r="O2" s="54">
        <v>180.0</v>
      </c>
      <c r="P2" s="54">
        <v>19.0</v>
      </c>
      <c r="Q2" s="13">
        <f>SUM(N2:P2)</f>
        <v>308</v>
      </c>
    </row>
    <row r="3">
      <c r="A3" s="54" t="s">
        <v>62</v>
      </c>
      <c r="B3" s="78">
        <v>33445.0</v>
      </c>
      <c r="C3" s="78">
        <v>70903.0</v>
      </c>
      <c r="D3" s="78">
        <v>5184.0</v>
      </c>
      <c r="E3" s="84">
        <f t="shared" si="1"/>
        <v>109532</v>
      </c>
      <c r="F3" s="57"/>
      <c r="G3" s="54" t="s">
        <v>292</v>
      </c>
      <c r="H3" s="78">
        <v>4832.0</v>
      </c>
      <c r="I3" s="78">
        <v>19815.0</v>
      </c>
      <c r="J3" s="78">
        <v>7615.0</v>
      </c>
      <c r="K3" s="84">
        <f t="shared" si="2"/>
        <v>32262</v>
      </c>
      <c r="M3" s="51" t="s">
        <v>293</v>
      </c>
    </row>
    <row r="4">
      <c r="A4" s="54" t="s">
        <v>44</v>
      </c>
      <c r="B4" s="78">
        <v>3437.0</v>
      </c>
      <c r="C4" s="78">
        <v>14219.0</v>
      </c>
      <c r="D4" s="54">
        <v>779.0</v>
      </c>
      <c r="E4" s="84">
        <f t="shared" si="1"/>
        <v>18435</v>
      </c>
      <c r="F4" s="57"/>
      <c r="G4" s="54" t="s">
        <v>294</v>
      </c>
      <c r="H4" s="78">
        <v>4844.0</v>
      </c>
      <c r="I4" s="78">
        <v>12536.0</v>
      </c>
      <c r="J4" s="78">
        <v>1789.0</v>
      </c>
      <c r="K4" s="84">
        <f t="shared" si="2"/>
        <v>19169</v>
      </c>
    </row>
    <row r="5">
      <c r="A5" s="54" t="s">
        <v>142</v>
      </c>
      <c r="B5" s="78">
        <v>19978.0</v>
      </c>
      <c r="C5" s="78">
        <v>89616.0</v>
      </c>
      <c r="D5" s="78">
        <v>4251.0</v>
      </c>
      <c r="E5" s="84">
        <f t="shared" si="1"/>
        <v>113845</v>
      </c>
      <c r="F5" s="57"/>
      <c r="G5" s="54" t="s">
        <v>295</v>
      </c>
      <c r="H5" s="78">
        <v>4490.0</v>
      </c>
      <c r="I5" s="78">
        <v>12520.0</v>
      </c>
      <c r="J5" s="78">
        <v>3896.0</v>
      </c>
      <c r="K5" s="84">
        <f t="shared" si="2"/>
        <v>20906</v>
      </c>
    </row>
    <row r="6">
      <c r="A6" s="54" t="s">
        <v>24</v>
      </c>
      <c r="B6" s="78">
        <v>4622.0</v>
      </c>
      <c r="C6" s="78">
        <v>10509.0</v>
      </c>
      <c r="D6" s="78">
        <v>1055.0</v>
      </c>
      <c r="E6" s="84">
        <f t="shared" si="1"/>
        <v>16186</v>
      </c>
      <c r="F6" s="57"/>
      <c r="G6" s="54" t="s">
        <v>296</v>
      </c>
      <c r="H6" s="78">
        <v>10394.0</v>
      </c>
      <c r="I6" s="78">
        <v>27420.0</v>
      </c>
      <c r="J6" s="78">
        <v>4564.0</v>
      </c>
      <c r="K6" s="84">
        <f t="shared" si="2"/>
        <v>42378</v>
      </c>
    </row>
    <row r="7">
      <c r="A7" s="54" t="s">
        <v>297</v>
      </c>
      <c r="B7" s="78">
        <v>185256.0</v>
      </c>
      <c r="C7" s="78">
        <v>725229.0</v>
      </c>
      <c r="D7" s="78">
        <v>471919.0</v>
      </c>
      <c r="E7" s="84">
        <f t="shared" si="1"/>
        <v>1382404</v>
      </c>
      <c r="F7" s="57"/>
      <c r="G7" s="54" t="s">
        <v>298</v>
      </c>
      <c r="H7" s="78">
        <v>2859.0</v>
      </c>
      <c r="I7" s="78">
        <v>9321.0</v>
      </c>
      <c r="J7" s="78">
        <v>3601.0</v>
      </c>
      <c r="K7" s="84">
        <f t="shared" si="2"/>
        <v>15781</v>
      </c>
    </row>
    <row r="8">
      <c r="A8" s="54" t="s">
        <v>299</v>
      </c>
      <c r="B8" s="78">
        <v>146128.0</v>
      </c>
      <c r="C8" s="78">
        <v>715242.0</v>
      </c>
      <c r="D8" s="78">
        <v>436991.0</v>
      </c>
      <c r="E8" s="84">
        <f t="shared" si="1"/>
        <v>1298361</v>
      </c>
      <c r="F8" s="57"/>
      <c r="G8" s="54" t="s">
        <v>300</v>
      </c>
      <c r="H8" s="78">
        <v>30746.0</v>
      </c>
      <c r="I8" s="78">
        <v>56014.0</v>
      </c>
      <c r="J8" s="78">
        <v>153058.0</v>
      </c>
      <c r="K8" s="84">
        <f t="shared" si="2"/>
        <v>239818</v>
      </c>
    </row>
    <row r="9">
      <c r="A9" s="54" t="s">
        <v>200</v>
      </c>
      <c r="B9" s="78">
        <v>16732.0</v>
      </c>
      <c r="C9" s="78">
        <v>94960.0</v>
      </c>
      <c r="D9" s="78">
        <v>10766.0</v>
      </c>
      <c r="E9" s="84">
        <f t="shared" si="1"/>
        <v>122458</v>
      </c>
      <c r="F9" s="57"/>
      <c r="G9" s="54" t="s">
        <v>301</v>
      </c>
      <c r="H9" s="78">
        <v>14985.0</v>
      </c>
      <c r="I9" s="78">
        <v>14133.0</v>
      </c>
      <c r="J9" s="78">
        <v>2249.0</v>
      </c>
      <c r="K9" s="84">
        <f t="shared" si="2"/>
        <v>31367</v>
      </c>
    </row>
    <row r="10">
      <c r="A10" s="54" t="s">
        <v>46</v>
      </c>
      <c r="B10" s="78">
        <v>30487.0</v>
      </c>
      <c r="C10" s="78">
        <v>62457.0</v>
      </c>
      <c r="D10" s="78">
        <v>13081.0</v>
      </c>
      <c r="E10" s="84">
        <f t="shared" si="1"/>
        <v>106025</v>
      </c>
      <c r="F10" s="57"/>
      <c r="G10" s="54" t="s">
        <v>302</v>
      </c>
      <c r="H10" s="78">
        <v>13600.0</v>
      </c>
      <c r="I10" s="78">
        <v>38498.0</v>
      </c>
      <c r="J10" s="78">
        <v>14018.0</v>
      </c>
      <c r="K10" s="84">
        <f t="shared" si="2"/>
        <v>66116</v>
      </c>
    </row>
    <row r="11">
      <c r="A11" s="54" t="s">
        <v>110</v>
      </c>
      <c r="B11" s="78">
        <v>20115.0</v>
      </c>
      <c r="C11" s="78">
        <v>101527.0</v>
      </c>
      <c r="D11" s="78">
        <v>4611.0</v>
      </c>
      <c r="E11" s="84">
        <f t="shared" si="1"/>
        <v>126253</v>
      </c>
      <c r="F11" s="57"/>
      <c r="G11" s="54" t="s">
        <v>303</v>
      </c>
      <c r="H11" s="78">
        <v>6295.0</v>
      </c>
      <c r="I11" s="78">
        <v>16602.0</v>
      </c>
      <c r="J11" s="78">
        <v>3018.0</v>
      </c>
      <c r="K11" s="84">
        <f t="shared" si="2"/>
        <v>25915</v>
      </c>
    </row>
    <row r="12">
      <c r="A12" s="54" t="s">
        <v>164</v>
      </c>
      <c r="B12" s="78">
        <v>15189.0</v>
      </c>
      <c r="C12" s="78">
        <v>94541.0</v>
      </c>
      <c r="D12" s="78">
        <v>12827.0</v>
      </c>
      <c r="E12" s="84">
        <f t="shared" si="1"/>
        <v>122557</v>
      </c>
      <c r="F12" s="57"/>
      <c r="G12" s="54" t="s">
        <v>304</v>
      </c>
      <c r="H12" s="78">
        <v>11520.0</v>
      </c>
      <c r="I12" s="78">
        <v>24846.0</v>
      </c>
      <c r="J12" s="78">
        <v>15245.0</v>
      </c>
      <c r="K12" s="84">
        <f t="shared" si="2"/>
        <v>51611</v>
      </c>
    </row>
    <row r="13">
      <c r="A13" s="54" t="s">
        <v>66</v>
      </c>
      <c r="B13" s="78">
        <v>30340.0</v>
      </c>
      <c r="C13" s="78">
        <v>57685.0</v>
      </c>
      <c r="D13" s="78">
        <v>29120.0</v>
      </c>
      <c r="E13" s="84">
        <f t="shared" si="1"/>
        <v>117145</v>
      </c>
      <c r="F13" s="57"/>
      <c r="G13" s="54" t="s">
        <v>305</v>
      </c>
      <c r="H13" s="78">
        <v>8874.0</v>
      </c>
      <c r="I13" s="78">
        <v>24966.0</v>
      </c>
      <c r="J13" s="78">
        <v>3382.0</v>
      </c>
      <c r="K13" s="84">
        <f t="shared" si="2"/>
        <v>37222</v>
      </c>
    </row>
    <row r="14">
      <c r="A14" s="54" t="s">
        <v>86</v>
      </c>
      <c r="B14" s="78">
        <v>35496.0</v>
      </c>
      <c r="C14" s="78">
        <v>108342.0</v>
      </c>
      <c r="D14" s="78">
        <v>28110.0</v>
      </c>
      <c r="E14" s="84">
        <f t="shared" si="1"/>
        <v>171948</v>
      </c>
      <c r="F14" s="57"/>
      <c r="G14" s="54" t="s">
        <v>306</v>
      </c>
      <c r="H14" s="78">
        <v>3991.0</v>
      </c>
      <c r="I14" s="78">
        <v>10090.0</v>
      </c>
      <c r="J14" s="78">
        <v>2390.0</v>
      </c>
      <c r="K14" s="84">
        <f t="shared" si="2"/>
        <v>16471</v>
      </c>
    </row>
    <row r="15">
      <c r="A15" s="54" t="s">
        <v>70</v>
      </c>
      <c r="B15" s="78">
        <v>27568.0</v>
      </c>
      <c r="C15" s="78">
        <v>39399.0</v>
      </c>
      <c r="D15" s="78">
        <v>20433.0</v>
      </c>
      <c r="E15" s="84">
        <f t="shared" si="1"/>
        <v>87400</v>
      </c>
      <c r="F15" s="57"/>
      <c r="G15" s="54" t="s">
        <v>307</v>
      </c>
      <c r="H15" s="78">
        <v>17065.0</v>
      </c>
      <c r="I15" s="78">
        <v>14892.0</v>
      </c>
      <c r="J15" s="78">
        <v>1592.0</v>
      </c>
      <c r="K15" s="84">
        <f t="shared" si="2"/>
        <v>33549</v>
      </c>
    </row>
    <row r="16">
      <c r="A16" s="54" t="s">
        <v>308</v>
      </c>
      <c r="B16" s="78">
        <v>12911.0</v>
      </c>
      <c r="C16" s="78">
        <v>96815.0</v>
      </c>
      <c r="D16" s="78">
        <v>12514.0</v>
      </c>
      <c r="E16" s="84">
        <f t="shared" si="1"/>
        <v>122240</v>
      </c>
      <c r="F16" s="57"/>
      <c r="G16" s="54" t="s">
        <v>309</v>
      </c>
      <c r="H16" s="78">
        <v>1979.0</v>
      </c>
      <c r="I16" s="78">
        <v>6552.0</v>
      </c>
      <c r="J16" s="78">
        <v>2617.0</v>
      </c>
      <c r="K16" s="84">
        <f t="shared" si="2"/>
        <v>11148</v>
      </c>
    </row>
    <row r="17">
      <c r="A17" s="54" t="s">
        <v>140</v>
      </c>
      <c r="B17" s="78">
        <v>20029.0</v>
      </c>
      <c r="C17" s="78">
        <v>120182.0</v>
      </c>
      <c r="D17" s="78">
        <v>26412.0</v>
      </c>
      <c r="E17" s="84">
        <f t="shared" si="1"/>
        <v>166623</v>
      </c>
      <c r="F17" s="57"/>
      <c r="G17" s="54" t="s">
        <v>310</v>
      </c>
      <c r="H17" s="78">
        <v>5357.0</v>
      </c>
      <c r="I17" s="78">
        <v>11964.0</v>
      </c>
      <c r="J17" s="78">
        <v>1838.0</v>
      </c>
      <c r="K17" s="84">
        <f t="shared" si="2"/>
        <v>19159</v>
      </c>
    </row>
    <row r="18">
      <c r="A18" s="54" t="s">
        <v>128</v>
      </c>
      <c r="B18" s="78">
        <v>18655.0</v>
      </c>
      <c r="C18" s="78">
        <v>75860.0</v>
      </c>
      <c r="D18" s="78">
        <v>14846.0</v>
      </c>
      <c r="E18" s="84">
        <f t="shared" si="1"/>
        <v>109361</v>
      </c>
      <c r="F18" s="57"/>
      <c r="G18" s="54" t="s">
        <v>311</v>
      </c>
      <c r="H18" s="78">
        <v>6477.0</v>
      </c>
      <c r="I18" s="78">
        <v>18322.0</v>
      </c>
      <c r="J18" s="78">
        <v>3231.0</v>
      </c>
      <c r="K18" s="84">
        <f t="shared" si="2"/>
        <v>28030</v>
      </c>
      <c r="L18" s="57"/>
    </row>
    <row r="19">
      <c r="A19" s="54" t="s">
        <v>96</v>
      </c>
      <c r="B19" s="78">
        <v>17215.0</v>
      </c>
      <c r="C19" s="78">
        <v>93272.0</v>
      </c>
      <c r="D19" s="78">
        <v>13177.0</v>
      </c>
      <c r="E19" s="84">
        <f t="shared" si="1"/>
        <v>123664</v>
      </c>
      <c r="F19" s="57"/>
      <c r="G19" s="51" t="s">
        <v>312</v>
      </c>
      <c r="H19" s="85">
        <f t="shared" ref="H19:J19" si="3">SUM(H1:H18)</f>
        <v>155860</v>
      </c>
      <c r="I19" s="85">
        <f t="shared" si="3"/>
        <v>337387</v>
      </c>
      <c r="J19" s="85">
        <f t="shared" si="3"/>
        <v>230455</v>
      </c>
      <c r="K19" s="85">
        <f t="shared" si="2"/>
        <v>723702</v>
      </c>
    </row>
    <row r="20">
      <c r="A20" s="54" t="s">
        <v>190</v>
      </c>
      <c r="B20" s="78">
        <v>42734.0</v>
      </c>
      <c r="C20" s="78">
        <v>202968.0</v>
      </c>
      <c r="D20" s="78">
        <v>57823.0</v>
      </c>
      <c r="E20" s="84">
        <f t="shared" si="1"/>
        <v>303525</v>
      </c>
      <c r="F20" s="57"/>
    </row>
    <row r="21">
      <c r="A21" s="54" t="s">
        <v>74</v>
      </c>
      <c r="B21" s="78">
        <v>33340.0</v>
      </c>
      <c r="C21" s="78">
        <v>92161.0</v>
      </c>
      <c r="D21" s="78">
        <v>27560.0</v>
      </c>
      <c r="E21" s="84">
        <f t="shared" si="1"/>
        <v>153061</v>
      </c>
      <c r="F21" s="57"/>
    </row>
    <row r="22">
      <c r="A22" s="54" t="s">
        <v>76</v>
      </c>
      <c r="B22" s="78">
        <v>18558.0</v>
      </c>
      <c r="C22" s="78">
        <v>57028.0</v>
      </c>
      <c r="D22" s="78">
        <v>26325.0</v>
      </c>
      <c r="E22" s="84">
        <f t="shared" si="1"/>
        <v>101911</v>
      </c>
      <c r="F22" s="57"/>
    </row>
    <row r="23">
      <c r="A23" s="54" t="s">
        <v>180</v>
      </c>
      <c r="B23" s="78">
        <v>54895.0</v>
      </c>
      <c r="C23" s="78">
        <v>187795.0</v>
      </c>
      <c r="D23" s="78">
        <v>53268.0</v>
      </c>
      <c r="E23" s="84">
        <f t="shared" si="1"/>
        <v>295958</v>
      </c>
      <c r="F23" s="57"/>
    </row>
    <row r="24">
      <c r="A24" s="54" t="s">
        <v>116</v>
      </c>
      <c r="B24" s="78">
        <v>35458.0</v>
      </c>
      <c r="C24" s="78">
        <v>79300.0</v>
      </c>
      <c r="D24" s="78">
        <v>22026.0</v>
      </c>
      <c r="E24" s="84">
        <f t="shared" si="1"/>
        <v>136784</v>
      </c>
      <c r="F24" s="57"/>
    </row>
    <row r="25">
      <c r="A25" s="54" t="s">
        <v>154</v>
      </c>
      <c r="B25" s="78">
        <v>14298.0</v>
      </c>
      <c r="C25" s="78">
        <v>100592.0</v>
      </c>
      <c r="D25" s="78">
        <v>19062.0</v>
      </c>
      <c r="E25" s="84">
        <f t="shared" si="1"/>
        <v>133952</v>
      </c>
      <c r="F25" s="57"/>
    </row>
    <row r="26">
      <c r="A26" s="54" t="s">
        <v>156</v>
      </c>
      <c r="B26" s="78">
        <v>5133.0</v>
      </c>
      <c r="C26" s="78">
        <v>25398.0</v>
      </c>
      <c r="D26" s="78">
        <v>6025.0</v>
      </c>
      <c r="E26" s="84">
        <f t="shared" si="1"/>
        <v>36556</v>
      </c>
      <c r="F26" s="57"/>
    </row>
    <row r="27">
      <c r="A27" s="54" t="s">
        <v>146</v>
      </c>
      <c r="B27" s="78">
        <v>11544.0</v>
      </c>
      <c r="C27" s="78">
        <v>35234.0</v>
      </c>
      <c r="D27" s="78">
        <v>13978.0</v>
      </c>
      <c r="E27" s="84">
        <f t="shared" si="1"/>
        <v>60756</v>
      </c>
      <c r="F27" s="57"/>
    </row>
    <row r="28">
      <c r="A28" s="54" t="s">
        <v>28</v>
      </c>
      <c r="B28" s="78">
        <v>34131.0</v>
      </c>
      <c r="C28" s="78">
        <v>92861.0</v>
      </c>
      <c r="D28" s="78">
        <v>14667.0</v>
      </c>
      <c r="E28" s="84">
        <f t="shared" si="1"/>
        <v>141659</v>
      </c>
      <c r="F28" s="57"/>
    </row>
    <row r="29">
      <c r="A29" s="54" t="s">
        <v>228</v>
      </c>
      <c r="B29" s="78">
        <v>237242.0</v>
      </c>
      <c r="C29" s="78">
        <v>704382.0</v>
      </c>
      <c r="D29" s="78">
        <v>458972.0</v>
      </c>
      <c r="E29" s="84">
        <f t="shared" si="1"/>
        <v>1400596</v>
      </c>
      <c r="F29" s="57"/>
    </row>
    <row r="30">
      <c r="A30" s="54" t="s">
        <v>126</v>
      </c>
      <c r="B30" s="78">
        <v>13739.0</v>
      </c>
      <c r="C30" s="78">
        <v>50839.0</v>
      </c>
      <c r="D30" s="78">
        <v>2269.0</v>
      </c>
      <c r="E30" s="84">
        <f t="shared" si="1"/>
        <v>66847</v>
      </c>
      <c r="F30" s="57"/>
    </row>
    <row r="31">
      <c r="A31" s="54" t="s">
        <v>94</v>
      </c>
      <c r="B31" s="78">
        <v>12208.0</v>
      </c>
      <c r="C31" s="78">
        <v>24642.0</v>
      </c>
      <c r="D31" s="78">
        <v>6509.0</v>
      </c>
      <c r="E31" s="84">
        <f t="shared" si="1"/>
        <v>43359</v>
      </c>
      <c r="F31" s="57"/>
    </row>
    <row r="32">
      <c r="A32" s="54" t="s">
        <v>184</v>
      </c>
      <c r="B32" s="78">
        <v>5987.0</v>
      </c>
      <c r="C32" s="78">
        <v>38240.0</v>
      </c>
      <c r="D32" s="78">
        <v>1789.0</v>
      </c>
      <c r="E32" s="84">
        <f t="shared" si="1"/>
        <v>46016</v>
      </c>
      <c r="F32" s="57"/>
    </row>
    <row r="33">
      <c r="A33" s="54" t="s">
        <v>188</v>
      </c>
      <c r="B33" s="78">
        <v>17645.0</v>
      </c>
      <c r="C33" s="78">
        <v>198456.0</v>
      </c>
      <c r="D33" s="78">
        <v>7833.0</v>
      </c>
      <c r="E33" s="84">
        <f t="shared" si="1"/>
        <v>223934</v>
      </c>
      <c r="F33" s="57"/>
    </row>
    <row r="34">
      <c r="A34" s="54" t="s">
        <v>172</v>
      </c>
      <c r="B34" s="78">
        <v>42415.0</v>
      </c>
      <c r="C34" s="78">
        <v>131670.0</v>
      </c>
      <c r="D34" s="78">
        <v>27219.0</v>
      </c>
      <c r="E34" s="84">
        <f t="shared" si="1"/>
        <v>201304</v>
      </c>
      <c r="F34" s="57"/>
    </row>
    <row r="35">
      <c r="A35" s="54" t="s">
        <v>192</v>
      </c>
      <c r="B35" s="78">
        <v>33179.0</v>
      </c>
      <c r="C35" s="78">
        <v>83018.0</v>
      </c>
      <c r="D35" s="78">
        <v>137830.0</v>
      </c>
      <c r="E35" s="84">
        <f t="shared" si="1"/>
        <v>254027</v>
      </c>
      <c r="F35" s="57"/>
    </row>
    <row r="36">
      <c r="A36" s="54" t="s">
        <v>112</v>
      </c>
      <c r="B36" s="78">
        <v>43123.0</v>
      </c>
      <c r="C36" s="78">
        <v>112233.0</v>
      </c>
      <c r="D36" s="78">
        <v>121998.0</v>
      </c>
      <c r="E36" s="84">
        <f t="shared" si="1"/>
        <v>277354</v>
      </c>
      <c r="F36" s="57"/>
    </row>
    <row r="37">
      <c r="A37" s="54" t="s">
        <v>118</v>
      </c>
      <c r="B37" s="78">
        <v>39756.0</v>
      </c>
      <c r="C37" s="78">
        <v>90863.0</v>
      </c>
      <c r="D37" s="78">
        <v>31068.0</v>
      </c>
      <c r="E37" s="84">
        <f t="shared" si="1"/>
        <v>161687</v>
      </c>
      <c r="F37" s="57"/>
    </row>
    <row r="38">
      <c r="A38" s="54" t="s">
        <v>182</v>
      </c>
      <c r="B38" s="78">
        <v>46861.0</v>
      </c>
      <c r="C38" s="78">
        <v>141943.0</v>
      </c>
      <c r="D38" s="78">
        <v>55480.0</v>
      </c>
      <c r="E38" s="84">
        <f t="shared" si="1"/>
        <v>244284</v>
      </c>
      <c r="F38" s="57"/>
    </row>
    <row r="39">
      <c r="A39" s="54" t="s">
        <v>54</v>
      </c>
      <c r="B39" s="78">
        <v>40613.0</v>
      </c>
      <c r="C39" s="78">
        <v>106792.0</v>
      </c>
      <c r="D39" s="78">
        <v>35413.0</v>
      </c>
      <c r="E39" s="84">
        <f t="shared" si="1"/>
        <v>182818</v>
      </c>
      <c r="F39" s="57"/>
    </row>
    <row r="40">
      <c r="A40" s="54" t="s">
        <v>64</v>
      </c>
      <c r="B40" s="78">
        <v>47590.0</v>
      </c>
      <c r="C40" s="78">
        <v>117286.0</v>
      </c>
      <c r="D40" s="78">
        <v>37521.0</v>
      </c>
      <c r="E40" s="84">
        <f t="shared" si="1"/>
        <v>202397</v>
      </c>
      <c r="F40" s="57"/>
    </row>
    <row r="41">
      <c r="A41" s="54" t="s">
        <v>114</v>
      </c>
      <c r="B41" s="78">
        <v>9284.0</v>
      </c>
      <c r="C41" s="78">
        <v>20696.0</v>
      </c>
      <c r="D41" s="78">
        <v>1384.0</v>
      </c>
      <c r="E41" s="84">
        <f t="shared" si="1"/>
        <v>31364</v>
      </c>
      <c r="F41" s="57"/>
    </row>
    <row r="42">
      <c r="A42" s="54" t="s">
        <v>32</v>
      </c>
      <c r="B42" s="78">
        <v>10441.0</v>
      </c>
      <c r="C42" s="78">
        <v>32657.0</v>
      </c>
      <c r="D42" s="54">
        <v>837.0</v>
      </c>
      <c r="E42" s="84">
        <f t="shared" si="1"/>
        <v>43935</v>
      </c>
      <c r="F42" s="57"/>
    </row>
    <row r="43">
      <c r="A43" s="54" t="s">
        <v>120</v>
      </c>
      <c r="B43" s="78">
        <v>14786.0</v>
      </c>
      <c r="C43" s="78">
        <v>89052.0</v>
      </c>
      <c r="D43" s="78">
        <v>5437.0</v>
      </c>
      <c r="E43" s="84">
        <f t="shared" si="1"/>
        <v>109275</v>
      </c>
      <c r="F43" s="57"/>
    </row>
    <row r="44">
      <c r="A44" s="54" t="s">
        <v>150</v>
      </c>
      <c r="B44" s="78">
        <v>39785.0</v>
      </c>
      <c r="C44" s="78">
        <v>89138.0</v>
      </c>
      <c r="D44" s="78">
        <v>54747.0</v>
      </c>
      <c r="E44" s="84">
        <f t="shared" si="1"/>
        <v>183670</v>
      </c>
      <c r="F44" s="57"/>
    </row>
    <row r="45">
      <c r="A45" s="54" t="s">
        <v>84</v>
      </c>
      <c r="B45" s="78">
        <v>45321.0</v>
      </c>
      <c r="C45" s="78">
        <v>100831.0</v>
      </c>
      <c r="D45" s="78">
        <v>48586.0</v>
      </c>
      <c r="E45" s="84">
        <f t="shared" si="1"/>
        <v>194738</v>
      </c>
      <c r="F45" s="57"/>
    </row>
    <row r="46">
      <c r="A46" s="54" t="s">
        <v>218</v>
      </c>
      <c r="B46" s="78">
        <v>3360.0</v>
      </c>
      <c r="C46" s="78">
        <v>20610.0</v>
      </c>
      <c r="D46" s="78">
        <v>5401.0</v>
      </c>
      <c r="E46" s="84">
        <f t="shared" si="1"/>
        <v>29371</v>
      </c>
      <c r="F46" s="57"/>
    </row>
    <row r="47">
      <c r="A47" s="54" t="s">
        <v>202</v>
      </c>
      <c r="B47" s="78">
        <v>42278.0</v>
      </c>
      <c r="C47" s="78">
        <v>224836.0</v>
      </c>
      <c r="D47" s="78">
        <v>32719.0</v>
      </c>
      <c r="E47" s="84">
        <f t="shared" si="1"/>
        <v>299833</v>
      </c>
      <c r="F47" s="57"/>
    </row>
    <row r="48">
      <c r="A48" s="54" t="s">
        <v>58</v>
      </c>
      <c r="B48" s="78">
        <v>49930.0</v>
      </c>
      <c r="C48" s="78">
        <v>59984.0</v>
      </c>
      <c r="D48" s="78">
        <v>29166.0</v>
      </c>
      <c r="E48" s="84">
        <f t="shared" si="1"/>
        <v>139080</v>
      </c>
      <c r="F48" s="57"/>
    </row>
    <row r="49">
      <c r="A49" s="54" t="s">
        <v>92</v>
      </c>
      <c r="B49" s="78">
        <v>27911.0</v>
      </c>
      <c r="C49" s="78">
        <v>60054.0</v>
      </c>
      <c r="D49" s="78">
        <v>73254.0</v>
      </c>
      <c r="E49" s="84">
        <f t="shared" si="1"/>
        <v>161219</v>
      </c>
      <c r="F49" s="57"/>
    </row>
    <row r="50">
      <c r="A50" s="54" t="s">
        <v>60</v>
      </c>
      <c r="B50" s="78">
        <v>15776.0</v>
      </c>
      <c r="C50" s="78">
        <v>57913.0</v>
      </c>
      <c r="D50" s="78">
        <v>21163.0</v>
      </c>
      <c r="E50" s="84">
        <f t="shared" si="1"/>
        <v>94852</v>
      </c>
      <c r="F50" s="57"/>
    </row>
    <row r="51">
      <c r="A51" s="54" t="s">
        <v>130</v>
      </c>
      <c r="B51" s="78">
        <v>8894.0</v>
      </c>
      <c r="C51" s="78">
        <v>42353.0</v>
      </c>
      <c r="D51" s="78">
        <v>1050.0</v>
      </c>
      <c r="E51" s="84">
        <f t="shared" si="1"/>
        <v>52297</v>
      </c>
      <c r="F51" s="57"/>
    </row>
    <row r="52">
      <c r="A52" s="54" t="s">
        <v>138</v>
      </c>
      <c r="B52" s="78">
        <v>23713.0</v>
      </c>
      <c r="C52" s="78">
        <v>135096.0</v>
      </c>
      <c r="D52" s="78">
        <v>14133.0</v>
      </c>
      <c r="E52" s="84">
        <f t="shared" si="1"/>
        <v>172942</v>
      </c>
      <c r="F52" s="57"/>
    </row>
    <row r="53">
      <c r="A53" s="54" t="s">
        <v>206</v>
      </c>
      <c r="B53" s="78">
        <v>43124.0</v>
      </c>
      <c r="C53" s="78">
        <v>208352.0</v>
      </c>
      <c r="D53" s="78">
        <v>59288.0</v>
      </c>
      <c r="E53" s="84">
        <f t="shared" si="1"/>
        <v>310764</v>
      </c>
      <c r="F53" s="57"/>
    </row>
    <row r="54">
      <c r="A54" s="54" t="s">
        <v>224</v>
      </c>
      <c r="B54" s="78">
        <v>105213.0</v>
      </c>
      <c r="C54" s="78">
        <v>558237.0</v>
      </c>
      <c r="D54" s="78">
        <v>90100.0</v>
      </c>
      <c r="E54" s="84">
        <f t="shared" si="1"/>
        <v>753550</v>
      </c>
      <c r="F54" s="57"/>
    </row>
    <row r="55">
      <c r="A55" s="54" t="s">
        <v>204</v>
      </c>
      <c r="B55" s="78">
        <v>75316.0</v>
      </c>
      <c r="C55" s="78">
        <v>372101.0</v>
      </c>
      <c r="D55" s="78">
        <v>29287.0</v>
      </c>
      <c r="E55" s="84">
        <f t="shared" si="1"/>
        <v>476704</v>
      </c>
      <c r="F55" s="57"/>
    </row>
    <row r="56">
      <c r="A56" s="54" t="s">
        <v>220</v>
      </c>
      <c r="B56" s="78">
        <v>79188.0</v>
      </c>
      <c r="C56" s="78">
        <v>279540.0</v>
      </c>
      <c r="D56" s="78">
        <v>113890.0</v>
      </c>
      <c r="E56" s="84">
        <f t="shared" si="1"/>
        <v>472618</v>
      </c>
      <c r="F56" s="57"/>
    </row>
    <row r="57">
      <c r="A57" s="54" t="s">
        <v>134</v>
      </c>
      <c r="B57" s="78">
        <v>13720.0</v>
      </c>
      <c r="C57" s="78">
        <v>30367.0</v>
      </c>
      <c r="D57" s="78">
        <v>8376.0</v>
      </c>
      <c r="E57" s="84">
        <f t="shared" si="1"/>
        <v>52463</v>
      </c>
      <c r="F57" s="57"/>
    </row>
    <row r="58">
      <c r="A58" s="54" t="s">
        <v>104</v>
      </c>
      <c r="B58" s="78">
        <v>23484.0</v>
      </c>
      <c r="C58" s="78">
        <v>53761.0</v>
      </c>
      <c r="D58" s="78">
        <v>5276.0</v>
      </c>
      <c r="E58" s="84">
        <f t="shared" si="1"/>
        <v>82521</v>
      </c>
      <c r="F58" s="57"/>
    </row>
    <row r="59">
      <c r="A59" s="54" t="s">
        <v>144</v>
      </c>
      <c r="B59" s="78">
        <v>5759.0</v>
      </c>
      <c r="C59" s="78">
        <v>34398.0</v>
      </c>
      <c r="D59" s="78">
        <v>3692.0</v>
      </c>
      <c r="E59" s="84">
        <f t="shared" si="1"/>
        <v>43849</v>
      </c>
      <c r="F59" s="57"/>
    </row>
    <row r="60">
      <c r="A60" s="54" t="s">
        <v>98</v>
      </c>
      <c r="B60" s="78">
        <v>23124.0</v>
      </c>
      <c r="C60" s="78">
        <v>88200.0</v>
      </c>
      <c r="D60" s="78">
        <v>14459.0</v>
      </c>
      <c r="E60" s="84">
        <f t="shared" si="1"/>
        <v>125783</v>
      </c>
      <c r="F60" s="57"/>
    </row>
    <row r="61">
      <c r="A61" s="54" t="s">
        <v>168</v>
      </c>
      <c r="B61" s="78">
        <v>39735.0</v>
      </c>
      <c r="C61" s="78">
        <v>131339.0</v>
      </c>
      <c r="D61" s="78">
        <v>36688.0</v>
      </c>
      <c r="E61" s="84">
        <f t="shared" si="1"/>
        <v>207762</v>
      </c>
      <c r="F61" s="57"/>
    </row>
    <row r="62">
      <c r="A62" s="54" t="s">
        <v>212</v>
      </c>
      <c r="B62" s="78">
        <v>1783.0</v>
      </c>
      <c r="C62" s="78">
        <v>13202.0</v>
      </c>
      <c r="D62" s="78">
        <v>4355.0</v>
      </c>
      <c r="E62" s="84">
        <f t="shared" si="1"/>
        <v>19340</v>
      </c>
      <c r="F62" s="57"/>
    </row>
    <row r="63">
      <c r="A63" s="54" t="s">
        <v>226</v>
      </c>
      <c r="B63" s="78">
        <v>24832.0</v>
      </c>
      <c r="C63" s="78">
        <v>121657.0</v>
      </c>
      <c r="D63" s="78">
        <v>45471.0</v>
      </c>
      <c r="E63" s="84">
        <f t="shared" si="1"/>
        <v>191960</v>
      </c>
      <c r="F63" s="57"/>
    </row>
    <row r="64">
      <c r="A64" s="54" t="s">
        <v>100</v>
      </c>
      <c r="B64" s="78">
        <v>16869.0</v>
      </c>
      <c r="C64" s="78">
        <v>68912.0</v>
      </c>
      <c r="D64" s="78">
        <v>25558.0</v>
      </c>
      <c r="E64" s="84">
        <f t="shared" si="1"/>
        <v>111339</v>
      </c>
      <c r="F64" s="57"/>
    </row>
    <row r="65">
      <c r="A65" s="54" t="s">
        <v>68</v>
      </c>
      <c r="B65" s="78">
        <v>41182.0</v>
      </c>
      <c r="C65" s="78">
        <v>83575.0</v>
      </c>
      <c r="D65" s="78">
        <v>25992.0</v>
      </c>
      <c r="E65" s="84">
        <f t="shared" si="1"/>
        <v>150749</v>
      </c>
      <c r="F65" s="57"/>
    </row>
    <row r="66">
      <c r="A66" s="54" t="s">
        <v>313</v>
      </c>
      <c r="B66" s="78">
        <v>37759.0</v>
      </c>
      <c r="C66" s="78">
        <v>331241.0</v>
      </c>
      <c r="D66" s="78">
        <v>97903.0</v>
      </c>
      <c r="E66" s="84">
        <f t="shared" si="1"/>
        <v>466903</v>
      </c>
      <c r="F66" s="57"/>
    </row>
    <row r="67">
      <c r="A67" s="54" t="s">
        <v>122</v>
      </c>
      <c r="B67" s="78">
        <v>6974.0</v>
      </c>
      <c r="C67" s="78">
        <v>18701.0</v>
      </c>
      <c r="D67" s="78">
        <v>4636.0</v>
      </c>
      <c r="E67" s="84">
        <f t="shared" si="1"/>
        <v>30311</v>
      </c>
      <c r="F67" s="57"/>
    </row>
    <row r="68">
      <c r="A68" s="54" t="s">
        <v>90</v>
      </c>
      <c r="B68" s="78">
        <v>14014.0</v>
      </c>
      <c r="C68" s="78">
        <v>56172.0</v>
      </c>
      <c r="D68" s="78">
        <v>17021.0</v>
      </c>
      <c r="E68" s="84">
        <f t="shared" si="1"/>
        <v>87207</v>
      </c>
      <c r="F68" s="57"/>
    </row>
    <row r="69">
      <c r="A69" s="54" t="s">
        <v>314</v>
      </c>
      <c r="B69" s="78">
        <v>83322.0</v>
      </c>
      <c r="C69" s="78">
        <v>387215.0</v>
      </c>
      <c r="D69" s="78">
        <v>66499.0</v>
      </c>
      <c r="E69" s="84">
        <f t="shared" si="1"/>
        <v>537036</v>
      </c>
      <c r="F69" s="57"/>
    </row>
    <row r="70">
      <c r="A70" s="54" t="s">
        <v>80</v>
      </c>
      <c r="B70" s="78">
        <v>21999.0</v>
      </c>
      <c r="C70" s="78">
        <v>63316.0</v>
      </c>
      <c r="D70" s="78">
        <v>27588.0</v>
      </c>
      <c r="E70" s="84">
        <f t="shared" si="1"/>
        <v>112903</v>
      </c>
      <c r="F70" s="57"/>
    </row>
    <row r="71">
      <c r="A71" s="54" t="s">
        <v>88</v>
      </c>
      <c r="B71" s="78">
        <v>9372.0</v>
      </c>
      <c r="C71" s="78">
        <v>22318.0</v>
      </c>
      <c r="D71" s="78">
        <v>1614.0</v>
      </c>
      <c r="E71" s="84">
        <f t="shared" si="1"/>
        <v>33304</v>
      </c>
      <c r="F71" s="57"/>
    </row>
    <row r="72">
      <c r="A72" s="54" t="s">
        <v>174</v>
      </c>
      <c r="B72" s="78">
        <v>24160.0</v>
      </c>
      <c r="C72" s="78">
        <v>55724.0</v>
      </c>
      <c r="D72" s="78">
        <v>2722.0</v>
      </c>
      <c r="E72" s="84">
        <f t="shared" si="1"/>
        <v>82606</v>
      </c>
      <c r="F72" s="57"/>
    </row>
    <row r="73">
      <c r="A73" s="54" t="s">
        <v>158</v>
      </c>
      <c r="B73" s="78">
        <v>4322.0</v>
      </c>
      <c r="C73" s="78">
        <v>34821.0</v>
      </c>
      <c r="D73" s="78">
        <v>1336.0</v>
      </c>
      <c r="E73" s="84">
        <f t="shared" si="1"/>
        <v>40479</v>
      </c>
      <c r="F73" s="57"/>
    </row>
    <row r="74">
      <c r="A74" s="54" t="s">
        <v>176</v>
      </c>
      <c r="B74" s="78">
        <v>9294.0</v>
      </c>
      <c r="C74" s="78">
        <v>23595.0</v>
      </c>
      <c r="D74" s="78">
        <v>9093.0</v>
      </c>
      <c r="E74" s="84">
        <f t="shared" si="1"/>
        <v>41982</v>
      </c>
      <c r="F74" s="57"/>
    </row>
    <row r="75">
      <c r="A75" s="54" t="s">
        <v>166</v>
      </c>
      <c r="B75" s="78">
        <v>23145.0</v>
      </c>
      <c r="C75" s="78">
        <v>138143.0</v>
      </c>
      <c r="D75" s="78">
        <v>31622.0</v>
      </c>
      <c r="E75" s="84">
        <f t="shared" si="1"/>
        <v>192910</v>
      </c>
      <c r="F75" s="57"/>
    </row>
    <row r="76">
      <c r="A76" s="54" t="s">
        <v>152</v>
      </c>
      <c r="B76" s="78">
        <v>13315.0</v>
      </c>
      <c r="C76" s="78">
        <v>78954.0</v>
      </c>
      <c r="D76" s="78">
        <v>3130.0</v>
      </c>
      <c r="E76" s="84">
        <f t="shared" si="1"/>
        <v>95399</v>
      </c>
      <c r="F76" s="57"/>
    </row>
    <row r="77">
      <c r="A77" s="54" t="s">
        <v>232</v>
      </c>
      <c r="B77" s="78">
        <v>248446.0</v>
      </c>
      <c r="C77" s="78">
        <v>1029763.0</v>
      </c>
      <c r="D77" s="78">
        <v>916971.0</v>
      </c>
      <c r="E77" s="84">
        <f t="shared" si="1"/>
        <v>2195180</v>
      </c>
      <c r="F77" s="57"/>
    </row>
    <row r="78">
      <c r="A78" s="54" t="s">
        <v>124</v>
      </c>
      <c r="B78" s="78">
        <v>25622.0</v>
      </c>
      <c r="C78" s="78">
        <v>161399.0</v>
      </c>
      <c r="D78" s="78">
        <v>46956.0</v>
      </c>
      <c r="E78" s="84">
        <f t="shared" si="1"/>
        <v>233977</v>
      </c>
      <c r="F78" s="57"/>
    </row>
    <row r="79">
      <c r="A79" s="54" t="s">
        <v>72</v>
      </c>
      <c r="B79" s="78">
        <v>15890.0</v>
      </c>
      <c r="C79" s="78">
        <v>37526.0</v>
      </c>
      <c r="D79" s="78">
        <v>6606.0</v>
      </c>
      <c r="E79" s="84">
        <f t="shared" si="1"/>
        <v>60022</v>
      </c>
      <c r="F79" s="57"/>
    </row>
    <row r="80">
      <c r="A80" s="54" t="s">
        <v>39</v>
      </c>
      <c r="B80" s="78">
        <v>31394.0</v>
      </c>
      <c r="C80" s="78">
        <v>47160.0</v>
      </c>
      <c r="D80" s="78">
        <v>13211.0</v>
      </c>
      <c r="E80" s="84">
        <f t="shared" si="1"/>
        <v>91765</v>
      </c>
      <c r="F80" s="57"/>
    </row>
    <row r="81">
      <c r="A81" s="54" t="s">
        <v>222</v>
      </c>
      <c r="B81" s="78">
        <v>25186.0</v>
      </c>
      <c r="C81" s="78">
        <v>156274.0</v>
      </c>
      <c r="D81" s="78">
        <v>6104.0</v>
      </c>
      <c r="E81" s="84">
        <f t="shared" si="1"/>
        <v>187564</v>
      </c>
      <c r="F81" s="57"/>
    </row>
    <row r="82">
      <c r="A82" s="54" t="s">
        <v>196</v>
      </c>
      <c r="B82" s="78">
        <v>93284.0</v>
      </c>
      <c r="C82" s="78">
        <v>433434.0</v>
      </c>
      <c r="D82" s="78">
        <v>147487.0</v>
      </c>
      <c r="E82" s="84">
        <f t="shared" si="1"/>
        <v>674205</v>
      </c>
      <c r="F82" s="57"/>
    </row>
    <row r="83">
      <c r="A83" s="54" t="s">
        <v>315</v>
      </c>
      <c r="B83" s="78">
        <v>49083.0</v>
      </c>
      <c r="C83" s="78">
        <v>237003.0</v>
      </c>
      <c r="D83" s="78">
        <v>80507.0</v>
      </c>
      <c r="E83" s="84">
        <f t="shared" si="1"/>
        <v>366593</v>
      </c>
      <c r="F83" s="57"/>
    </row>
    <row r="84">
      <c r="A84" s="54" t="s">
        <v>35</v>
      </c>
      <c r="B84" s="78">
        <v>11328.0</v>
      </c>
      <c r="C84" s="78">
        <v>25686.0</v>
      </c>
      <c r="D84" s="78">
        <v>1092.0</v>
      </c>
      <c r="E84" s="84">
        <f t="shared" si="1"/>
        <v>38106</v>
      </c>
      <c r="F84" s="57"/>
    </row>
    <row r="85">
      <c r="A85" s="54" t="s">
        <v>106</v>
      </c>
      <c r="B85" s="78">
        <v>7216.0</v>
      </c>
      <c r="C85" s="78">
        <v>34363.0</v>
      </c>
      <c r="D85" s="78">
        <v>20859.0</v>
      </c>
      <c r="E85" s="84">
        <f t="shared" si="1"/>
        <v>62438</v>
      </c>
      <c r="F85" s="57"/>
    </row>
    <row r="86">
      <c r="A86" s="54" t="s">
        <v>56</v>
      </c>
      <c r="B86" s="78">
        <v>6987.0</v>
      </c>
      <c r="C86" s="78">
        <v>44103.0</v>
      </c>
      <c r="D86" s="78">
        <v>2969.0</v>
      </c>
      <c r="E86" s="84">
        <f t="shared" si="1"/>
        <v>54059</v>
      </c>
      <c r="F86" s="57"/>
    </row>
    <row r="87">
      <c r="A87" s="54" t="s">
        <v>210</v>
      </c>
      <c r="B87" s="78">
        <v>2975.0</v>
      </c>
      <c r="C87" s="78">
        <v>18358.0</v>
      </c>
      <c r="D87" s="78">
        <v>6294.0</v>
      </c>
      <c r="E87" s="84">
        <f t="shared" si="1"/>
        <v>27627</v>
      </c>
      <c r="F87" s="57"/>
    </row>
    <row r="88">
      <c r="A88" s="54" t="s">
        <v>42</v>
      </c>
      <c r="B88" s="78">
        <v>22587.0</v>
      </c>
      <c r="C88" s="78">
        <v>49385.0</v>
      </c>
      <c r="D88" s="78">
        <v>10236.0</v>
      </c>
      <c r="E88" s="84">
        <f t="shared" si="1"/>
        <v>82208</v>
      </c>
      <c r="F88" s="57"/>
    </row>
    <row r="89">
      <c r="A89" s="54" t="s">
        <v>194</v>
      </c>
      <c r="B89" s="78">
        <v>24988.0</v>
      </c>
      <c r="C89" s="78">
        <v>115958.0</v>
      </c>
      <c r="D89" s="78">
        <v>21863.0</v>
      </c>
      <c r="E89" s="84">
        <f t="shared" si="1"/>
        <v>162809</v>
      </c>
      <c r="F89" s="57"/>
    </row>
    <row r="90">
      <c r="A90" s="54" t="s">
        <v>37</v>
      </c>
      <c r="B90" s="78">
        <v>18462.0</v>
      </c>
      <c r="C90" s="78">
        <v>34500.0</v>
      </c>
      <c r="D90" s="78">
        <v>17927.0</v>
      </c>
      <c r="E90" s="84">
        <f t="shared" si="1"/>
        <v>70889</v>
      </c>
      <c r="F90" s="57"/>
    </row>
    <row r="91">
      <c r="A91" s="54" t="s">
        <v>136</v>
      </c>
      <c r="B91" s="78">
        <v>47269.0</v>
      </c>
      <c r="C91" s="78">
        <v>71600.0</v>
      </c>
      <c r="D91" s="78">
        <v>23922.0</v>
      </c>
      <c r="E91" s="84">
        <f t="shared" si="1"/>
        <v>142791</v>
      </c>
      <c r="F91" s="57"/>
    </row>
    <row r="92">
      <c r="A92" s="54" t="s">
        <v>160</v>
      </c>
      <c r="B92" s="78">
        <v>11522.0</v>
      </c>
      <c r="C92" s="78">
        <v>107471.0</v>
      </c>
      <c r="D92" s="78">
        <v>6158.0</v>
      </c>
      <c r="E92" s="84">
        <f t="shared" si="1"/>
        <v>125151</v>
      </c>
      <c r="F92" s="57"/>
    </row>
    <row r="93">
      <c r="A93" s="54" t="s">
        <v>108</v>
      </c>
      <c r="B93" s="78">
        <v>7753.0</v>
      </c>
      <c r="C93" s="78">
        <v>35704.0</v>
      </c>
      <c r="D93" s="78">
        <v>3031.0</v>
      </c>
      <c r="E93" s="84">
        <f t="shared" si="1"/>
        <v>46488</v>
      </c>
      <c r="F93" s="57"/>
    </row>
    <row r="94">
      <c r="A94" s="54" t="s">
        <v>82</v>
      </c>
      <c r="B94" s="78">
        <v>38494.0</v>
      </c>
      <c r="C94" s="78">
        <v>252970.0</v>
      </c>
      <c r="D94" s="78">
        <v>100282.0</v>
      </c>
      <c r="E94" s="84">
        <f t="shared" si="1"/>
        <v>391746</v>
      </c>
      <c r="F94" s="57"/>
    </row>
    <row r="95">
      <c r="A95" s="54" t="s">
        <v>230</v>
      </c>
      <c r="B95" s="78">
        <v>123792.0</v>
      </c>
      <c r="C95" s="78">
        <v>1125173.0</v>
      </c>
      <c r="D95" s="78">
        <v>385954.0</v>
      </c>
      <c r="E95" s="84">
        <f t="shared" si="1"/>
        <v>1634919</v>
      </c>
      <c r="F95" s="57"/>
    </row>
    <row r="96">
      <c r="A96" s="54" t="s">
        <v>214</v>
      </c>
      <c r="B96" s="78">
        <v>63792.0</v>
      </c>
      <c r="C96" s="78">
        <v>397332.0</v>
      </c>
      <c r="D96" s="78">
        <v>116742.0</v>
      </c>
      <c r="E96" s="84">
        <f t="shared" si="1"/>
        <v>577866</v>
      </c>
      <c r="F96" s="57"/>
    </row>
    <row r="97">
      <c r="A97" s="54" t="s">
        <v>48</v>
      </c>
      <c r="B97" s="78">
        <v>22133.0</v>
      </c>
      <c r="C97" s="78">
        <v>38455.0</v>
      </c>
      <c r="D97" s="78">
        <v>25010.0</v>
      </c>
      <c r="E97" s="84">
        <f t="shared" si="1"/>
        <v>85598</v>
      </c>
      <c r="F97" s="57"/>
    </row>
    <row r="98">
      <c r="A98" s="54" t="s">
        <v>162</v>
      </c>
      <c r="B98" s="78">
        <v>63748.0</v>
      </c>
      <c r="C98" s="78">
        <v>169427.0</v>
      </c>
      <c r="D98" s="78">
        <v>34384.0</v>
      </c>
      <c r="E98" s="84">
        <f t="shared" si="1"/>
        <v>267559</v>
      </c>
      <c r="F98" s="57"/>
    </row>
    <row r="99">
      <c r="A99" s="54" t="s">
        <v>208</v>
      </c>
      <c r="B99" s="78">
        <v>95959.0</v>
      </c>
      <c r="C99" s="78">
        <v>216794.0</v>
      </c>
      <c r="D99" s="78">
        <v>110345.0</v>
      </c>
      <c r="E99" s="84">
        <f t="shared" si="1"/>
        <v>423098</v>
      </c>
      <c r="F99" s="57"/>
    </row>
    <row r="100">
      <c r="A100" s="54" t="s">
        <v>216</v>
      </c>
      <c r="B100" s="78">
        <v>56055.0</v>
      </c>
      <c r="C100" s="78">
        <v>323139.0</v>
      </c>
      <c r="D100" s="78">
        <v>47117.0</v>
      </c>
      <c r="E100" s="84">
        <f t="shared" si="1"/>
        <v>426311</v>
      </c>
      <c r="F100" s="57"/>
    </row>
    <row r="101">
      <c r="A101" s="54" t="s">
        <v>52</v>
      </c>
      <c r="B101" s="78">
        <v>29705.0</v>
      </c>
      <c r="C101" s="78">
        <v>62264.0</v>
      </c>
      <c r="D101" s="78">
        <v>16487.0</v>
      </c>
      <c r="E101" s="84">
        <f t="shared" si="1"/>
        <v>108456</v>
      </c>
      <c r="F101" s="57"/>
    </row>
    <row r="102">
      <c r="A102" s="54" t="s">
        <v>78</v>
      </c>
      <c r="B102" s="78">
        <v>10566.0</v>
      </c>
      <c r="C102" s="78">
        <v>44037.0</v>
      </c>
      <c r="D102" s="78">
        <v>6260.0</v>
      </c>
      <c r="E102" s="84">
        <f t="shared" si="1"/>
        <v>60863</v>
      </c>
      <c r="F102" s="57"/>
    </row>
    <row r="103">
      <c r="A103" s="54" t="s">
        <v>20</v>
      </c>
      <c r="B103" s="78">
        <v>10755.0</v>
      </c>
      <c r="C103" s="78">
        <v>29246.0</v>
      </c>
      <c r="D103" s="78">
        <v>1858.0</v>
      </c>
      <c r="E103" s="84">
        <f t="shared" si="1"/>
        <v>41859</v>
      </c>
      <c r="F103" s="57"/>
    </row>
    <row r="104">
      <c r="A104" s="54" t="s">
        <v>148</v>
      </c>
      <c r="B104" s="78">
        <v>10014.0</v>
      </c>
      <c r="C104" s="78">
        <v>37613.0</v>
      </c>
      <c r="D104" s="78">
        <v>6881.0</v>
      </c>
      <c r="E104" s="84">
        <f t="shared" si="1"/>
        <v>54508</v>
      </c>
      <c r="F104" s="57"/>
    </row>
    <row r="105">
      <c r="A105" s="54" t="s">
        <v>132</v>
      </c>
      <c r="B105" s="78">
        <v>138299.0</v>
      </c>
      <c r="C105" s="78">
        <v>367332.0</v>
      </c>
      <c r="D105" s="78">
        <v>66811.0</v>
      </c>
      <c r="E105" s="84">
        <f t="shared" si="1"/>
        <v>572442</v>
      </c>
      <c r="F105" s="57"/>
    </row>
    <row r="106">
      <c r="A106" s="54" t="s">
        <v>170</v>
      </c>
      <c r="B106" s="78">
        <v>23455.0</v>
      </c>
      <c r="C106" s="78">
        <v>96973.0</v>
      </c>
      <c r="D106" s="78">
        <v>40806.0</v>
      </c>
      <c r="E106" s="84">
        <f t="shared" si="1"/>
        <v>161234</v>
      </c>
      <c r="F106" s="57"/>
    </row>
    <row r="107">
      <c r="A107" s="54" t="s">
        <v>102</v>
      </c>
      <c r="B107" s="78">
        <v>31971.0</v>
      </c>
      <c r="C107" s="78">
        <v>92201.0</v>
      </c>
      <c r="D107" s="78">
        <v>10538.0</v>
      </c>
      <c r="E107" s="84">
        <f t="shared" si="1"/>
        <v>134710</v>
      </c>
      <c r="F107" s="57"/>
    </row>
    <row r="108">
      <c r="A108" s="54" t="s">
        <v>16</v>
      </c>
      <c r="B108" s="78">
        <v>31186.0</v>
      </c>
      <c r="C108" s="78">
        <v>75125.0</v>
      </c>
      <c r="D108" s="78">
        <v>42379.0</v>
      </c>
      <c r="E108" s="84">
        <f t="shared" si="1"/>
        <v>148690</v>
      </c>
      <c r="F108" s="57"/>
    </row>
    <row r="109">
      <c r="A109" s="54" t="s">
        <v>186</v>
      </c>
      <c r="B109" s="78">
        <v>83232.0</v>
      </c>
      <c r="C109" s="78">
        <v>166558.0</v>
      </c>
      <c r="D109" s="78">
        <v>281017.0</v>
      </c>
      <c r="E109" s="84">
        <f t="shared" si="1"/>
        <v>530807</v>
      </c>
      <c r="F109" s="57"/>
    </row>
    <row r="110">
      <c r="A110" s="54" t="s">
        <v>198</v>
      </c>
      <c r="B110" s="78">
        <v>29107.0</v>
      </c>
      <c r="C110" s="78">
        <v>130593.0</v>
      </c>
      <c r="D110" s="78">
        <v>9582.0</v>
      </c>
      <c r="E110" s="84">
        <f t="shared" si="1"/>
        <v>169282</v>
      </c>
      <c r="F110" s="57"/>
    </row>
    <row r="111">
      <c r="A111" s="54" t="s">
        <v>316</v>
      </c>
      <c r="B111" s="78">
        <v>135360.0</v>
      </c>
      <c r="C111" s="78">
        <v>440352.0</v>
      </c>
      <c r="D111" s="78">
        <v>191810.0</v>
      </c>
      <c r="E111" s="84">
        <f t="shared" si="1"/>
        <v>767522</v>
      </c>
      <c r="F111" s="57"/>
    </row>
    <row r="112">
      <c r="A112" s="54" t="s">
        <v>178</v>
      </c>
      <c r="B112" s="78">
        <v>39744.0</v>
      </c>
      <c r="C112" s="78">
        <v>160025.0</v>
      </c>
      <c r="D112" s="78">
        <v>51747.0</v>
      </c>
      <c r="E112" s="84">
        <f t="shared" si="1"/>
        <v>251516</v>
      </c>
      <c r="F112" s="57"/>
    </row>
    <row r="113">
      <c r="A113" s="54" t="s">
        <v>317</v>
      </c>
      <c r="B113" s="84">
        <f t="shared" ref="B113:D113" si="4">SUM(B2:B112)</f>
        <v>4218880</v>
      </c>
      <c r="C113" s="84">
        <f t="shared" si="4"/>
        <v>16359552</v>
      </c>
      <c r="D113" s="84">
        <f t="shared" si="4"/>
        <v>6180192</v>
      </c>
      <c r="E113" s="84">
        <f t="shared" si="1"/>
        <v>26758624</v>
      </c>
      <c r="F113" s="57"/>
    </row>
    <row r="114">
      <c r="F114" s="57"/>
    </row>
    <row r="115">
      <c r="F115" s="57"/>
    </row>
    <row r="116">
      <c r="F116" s="57"/>
    </row>
    <row r="117">
      <c r="F117" s="57"/>
    </row>
    <row r="118">
      <c r="F118" s="57"/>
    </row>
    <row r="119">
      <c r="F119" s="57"/>
    </row>
    <row r="120">
      <c r="F120" s="57"/>
    </row>
    <row r="121">
      <c r="F121" s="57"/>
    </row>
    <row r="122">
      <c r="F122" s="57"/>
    </row>
    <row r="123">
      <c r="F123" s="57"/>
    </row>
    <row r="124">
      <c r="F124" s="57"/>
    </row>
    <row r="125">
      <c r="F125" s="57"/>
    </row>
    <row r="126">
      <c r="F126" s="57"/>
    </row>
    <row r="127">
      <c r="F127" s="57"/>
    </row>
    <row r="128">
      <c r="F128" s="57"/>
    </row>
    <row r="129">
      <c r="F129" s="57"/>
    </row>
    <row r="130">
      <c r="F130" s="57"/>
    </row>
    <row r="131">
      <c r="F131" s="57"/>
    </row>
    <row r="132">
      <c r="F132" s="57"/>
    </row>
    <row r="133">
      <c r="F133" s="57"/>
    </row>
    <row r="134">
      <c r="F134" s="57"/>
    </row>
    <row r="135">
      <c r="F135" s="57"/>
    </row>
    <row r="136">
      <c r="F136" s="57"/>
    </row>
    <row r="137">
      <c r="F137" s="57"/>
    </row>
    <row r="138">
      <c r="F138" s="57"/>
    </row>
    <row r="139">
      <c r="F139" s="57"/>
    </row>
    <row r="140">
      <c r="F140" s="57"/>
    </row>
    <row r="141">
      <c r="F141" s="57"/>
    </row>
    <row r="142">
      <c r="F142" s="57"/>
    </row>
    <row r="143">
      <c r="F143" s="57"/>
    </row>
    <row r="144">
      <c r="F144" s="57"/>
    </row>
    <row r="145">
      <c r="F145" s="57"/>
    </row>
    <row r="146">
      <c r="F146" s="57"/>
    </row>
    <row r="147">
      <c r="F147" s="57"/>
    </row>
    <row r="148">
      <c r="F148" s="57"/>
    </row>
    <row r="149">
      <c r="F149" s="57"/>
    </row>
    <row r="150">
      <c r="F150" s="57"/>
    </row>
    <row r="151">
      <c r="F151" s="57"/>
    </row>
    <row r="152">
      <c r="F152" s="57"/>
    </row>
    <row r="153">
      <c r="F153" s="57"/>
    </row>
    <row r="154">
      <c r="F154" s="57"/>
    </row>
    <row r="155">
      <c r="F155" s="57"/>
    </row>
    <row r="156">
      <c r="F156" s="57"/>
    </row>
    <row r="157">
      <c r="F157" s="57"/>
    </row>
    <row r="158">
      <c r="F158" s="57"/>
    </row>
    <row r="159">
      <c r="F159" s="57"/>
    </row>
    <row r="160">
      <c r="F160" s="57"/>
    </row>
    <row r="161">
      <c r="F161" s="57"/>
    </row>
    <row r="162">
      <c r="F162" s="57"/>
    </row>
    <row r="163">
      <c r="F163" s="57"/>
    </row>
    <row r="164">
      <c r="F164" s="57"/>
    </row>
    <row r="165">
      <c r="F165" s="57"/>
    </row>
    <row r="166">
      <c r="F166" s="57"/>
    </row>
    <row r="167">
      <c r="F167" s="57"/>
    </row>
    <row r="168">
      <c r="F168" s="57"/>
    </row>
    <row r="169">
      <c r="F169" s="57"/>
    </row>
    <row r="170">
      <c r="F170" s="57"/>
    </row>
    <row r="171">
      <c r="F171" s="57"/>
    </row>
    <row r="172">
      <c r="F172" s="57"/>
    </row>
    <row r="173">
      <c r="F173" s="57"/>
    </row>
    <row r="174">
      <c r="F174" s="57"/>
    </row>
    <row r="175">
      <c r="F175" s="57"/>
    </row>
    <row r="176">
      <c r="F176" s="57"/>
    </row>
    <row r="177">
      <c r="F177" s="57"/>
    </row>
    <row r="178">
      <c r="F178" s="57"/>
    </row>
    <row r="179">
      <c r="F179" s="57"/>
    </row>
    <row r="180">
      <c r="F180" s="57"/>
    </row>
    <row r="181">
      <c r="F181" s="57"/>
    </row>
    <row r="182">
      <c r="F182" s="57"/>
    </row>
    <row r="183">
      <c r="F183" s="57"/>
    </row>
    <row r="184">
      <c r="F184" s="57"/>
    </row>
    <row r="185">
      <c r="F185" s="57"/>
    </row>
    <row r="186">
      <c r="F186" s="57"/>
    </row>
    <row r="187">
      <c r="F187" s="57"/>
    </row>
    <row r="188">
      <c r="F188" s="57"/>
    </row>
    <row r="189">
      <c r="F189" s="57"/>
    </row>
    <row r="190">
      <c r="F190" s="57"/>
    </row>
    <row r="191">
      <c r="F191" s="57"/>
    </row>
    <row r="192">
      <c r="F192" s="57"/>
    </row>
    <row r="193">
      <c r="F193" s="57"/>
    </row>
    <row r="194">
      <c r="F194" s="57"/>
    </row>
    <row r="195">
      <c r="F195" s="57"/>
    </row>
    <row r="196">
      <c r="F196" s="57"/>
    </row>
    <row r="197">
      <c r="F197" s="57"/>
    </row>
    <row r="198">
      <c r="F198" s="57"/>
    </row>
    <row r="199">
      <c r="F199" s="57"/>
    </row>
    <row r="200">
      <c r="F200" s="57"/>
    </row>
    <row r="201">
      <c r="F201" s="57"/>
    </row>
    <row r="202">
      <c r="F202" s="57"/>
    </row>
    <row r="203">
      <c r="F203" s="57"/>
    </row>
    <row r="204">
      <c r="F204" s="57"/>
    </row>
    <row r="205">
      <c r="F205" s="57"/>
    </row>
    <row r="206">
      <c r="F206" s="57"/>
    </row>
    <row r="207">
      <c r="F207" s="57"/>
    </row>
    <row r="208">
      <c r="F208" s="57"/>
    </row>
    <row r="209">
      <c r="F209" s="57"/>
    </row>
    <row r="210">
      <c r="F210" s="57"/>
    </row>
    <row r="211">
      <c r="F211" s="57"/>
    </row>
    <row r="212">
      <c r="F212" s="57"/>
    </row>
    <row r="213">
      <c r="F213" s="57"/>
    </row>
    <row r="214">
      <c r="F214" s="57"/>
    </row>
    <row r="215">
      <c r="F215" s="57"/>
    </row>
    <row r="216">
      <c r="F216" s="57"/>
    </row>
    <row r="217">
      <c r="F217" s="57"/>
    </row>
    <row r="218">
      <c r="F218" s="57"/>
    </row>
    <row r="219">
      <c r="F219" s="57"/>
    </row>
    <row r="220">
      <c r="F220" s="57"/>
    </row>
    <row r="221">
      <c r="F221" s="57"/>
    </row>
    <row r="222">
      <c r="F222" s="57"/>
    </row>
    <row r="223">
      <c r="F223" s="57"/>
    </row>
    <row r="224">
      <c r="F224" s="57"/>
    </row>
    <row r="225">
      <c r="F225" s="57"/>
    </row>
    <row r="226">
      <c r="F226" s="57"/>
    </row>
    <row r="227">
      <c r="F227" s="57"/>
    </row>
    <row r="228">
      <c r="F228" s="57"/>
    </row>
    <row r="229">
      <c r="F229" s="57"/>
    </row>
    <row r="230">
      <c r="F230" s="57"/>
    </row>
    <row r="231">
      <c r="F231" s="57"/>
    </row>
    <row r="232">
      <c r="F232" s="57"/>
    </row>
    <row r="233">
      <c r="F233" s="57"/>
    </row>
    <row r="234">
      <c r="F234" s="57"/>
    </row>
    <row r="235">
      <c r="F235" s="57"/>
    </row>
    <row r="236">
      <c r="F236" s="57"/>
    </row>
    <row r="237">
      <c r="F237" s="57"/>
    </row>
    <row r="238">
      <c r="F238" s="57"/>
    </row>
    <row r="239">
      <c r="F239" s="57"/>
    </row>
    <row r="240">
      <c r="F240" s="57"/>
    </row>
    <row r="241">
      <c r="F241" s="57"/>
    </row>
    <row r="242">
      <c r="F242" s="57"/>
    </row>
    <row r="243">
      <c r="F243" s="57"/>
    </row>
    <row r="244">
      <c r="F244" s="57"/>
    </row>
    <row r="245">
      <c r="F245" s="57"/>
    </row>
    <row r="246">
      <c r="F246" s="57"/>
    </row>
    <row r="247">
      <c r="F247" s="57"/>
    </row>
    <row r="248">
      <c r="F248" s="57"/>
    </row>
    <row r="249">
      <c r="F249" s="57"/>
    </row>
    <row r="250">
      <c r="F250" s="57"/>
    </row>
    <row r="251">
      <c r="F251" s="57"/>
    </row>
    <row r="252">
      <c r="F252" s="57"/>
    </row>
    <row r="253">
      <c r="F253" s="57"/>
    </row>
    <row r="254">
      <c r="F254" s="57"/>
    </row>
    <row r="255">
      <c r="F255" s="57"/>
    </row>
    <row r="256">
      <c r="F256" s="57"/>
    </row>
    <row r="257">
      <c r="F257" s="57"/>
    </row>
    <row r="258">
      <c r="F258" s="57"/>
    </row>
    <row r="259">
      <c r="F259" s="57"/>
    </row>
    <row r="260">
      <c r="F260" s="57"/>
    </row>
    <row r="261">
      <c r="F261" s="57"/>
    </row>
    <row r="262">
      <c r="F262" s="57"/>
    </row>
    <row r="263">
      <c r="F263" s="57"/>
    </row>
    <row r="264">
      <c r="F264" s="57"/>
    </row>
    <row r="265">
      <c r="F265" s="57"/>
    </row>
    <row r="266">
      <c r="F266" s="57"/>
    </row>
    <row r="267">
      <c r="F267" s="57"/>
    </row>
    <row r="268">
      <c r="F268" s="57"/>
    </row>
    <row r="269">
      <c r="F269" s="57"/>
    </row>
    <row r="270">
      <c r="F270" s="57"/>
    </row>
    <row r="271">
      <c r="F271" s="57"/>
    </row>
    <row r="272">
      <c r="F272" s="57"/>
    </row>
    <row r="273">
      <c r="F273" s="57"/>
    </row>
    <row r="274">
      <c r="F274" s="57"/>
    </row>
    <row r="275">
      <c r="F275" s="57"/>
    </row>
    <row r="276">
      <c r="F276" s="57"/>
    </row>
    <row r="277">
      <c r="F277" s="57"/>
    </row>
    <row r="278">
      <c r="F278" s="57"/>
    </row>
    <row r="279">
      <c r="F279" s="57"/>
    </row>
    <row r="280">
      <c r="F280" s="57"/>
    </row>
    <row r="281">
      <c r="F281" s="57"/>
    </row>
    <row r="282">
      <c r="F282" s="57"/>
    </row>
    <row r="283">
      <c r="F283" s="57"/>
    </row>
    <row r="284">
      <c r="F284" s="57"/>
    </row>
    <row r="285">
      <c r="F285" s="57"/>
    </row>
    <row r="286">
      <c r="F286" s="57"/>
    </row>
    <row r="287">
      <c r="F287" s="57"/>
    </row>
    <row r="288">
      <c r="F288" s="57"/>
    </row>
    <row r="289">
      <c r="F289" s="57"/>
    </row>
    <row r="290">
      <c r="F290" s="57"/>
    </row>
    <row r="291">
      <c r="F291" s="57"/>
    </row>
    <row r="292">
      <c r="F292" s="57"/>
    </row>
    <row r="293">
      <c r="F293" s="57"/>
    </row>
    <row r="294">
      <c r="F294" s="57"/>
    </row>
    <row r="295">
      <c r="F295" s="57"/>
    </row>
    <row r="296">
      <c r="F296" s="57"/>
    </row>
    <row r="297">
      <c r="F297" s="57"/>
    </row>
    <row r="298">
      <c r="F298" s="57"/>
    </row>
    <row r="299">
      <c r="F299" s="57"/>
    </row>
    <row r="300">
      <c r="F300" s="57"/>
    </row>
    <row r="301">
      <c r="F301" s="57"/>
    </row>
    <row r="302">
      <c r="F302" s="57"/>
    </row>
    <row r="303">
      <c r="F303" s="57"/>
    </row>
    <row r="304">
      <c r="F304" s="57"/>
    </row>
    <row r="305">
      <c r="F305" s="57"/>
    </row>
    <row r="306">
      <c r="F306" s="57"/>
    </row>
    <row r="307">
      <c r="F307" s="57"/>
    </row>
    <row r="308">
      <c r="F308" s="57"/>
    </row>
    <row r="309">
      <c r="F309" s="57"/>
    </row>
    <row r="310">
      <c r="F310" s="57"/>
    </row>
    <row r="311">
      <c r="F311" s="57"/>
    </row>
    <row r="312">
      <c r="F312" s="57"/>
    </row>
    <row r="313">
      <c r="F313" s="57"/>
    </row>
    <row r="314">
      <c r="F314" s="57"/>
    </row>
    <row r="315">
      <c r="F315" s="57"/>
    </row>
    <row r="316">
      <c r="F316" s="57"/>
    </row>
    <row r="317">
      <c r="F317" s="57"/>
    </row>
    <row r="318">
      <c r="F318" s="57"/>
    </row>
    <row r="319">
      <c r="F319" s="57"/>
    </row>
    <row r="320">
      <c r="F320" s="57"/>
    </row>
    <row r="321">
      <c r="F321" s="57"/>
    </row>
    <row r="322">
      <c r="F322" s="57"/>
    </row>
    <row r="323">
      <c r="F323" s="57"/>
    </row>
    <row r="324">
      <c r="F324" s="57"/>
    </row>
    <row r="325">
      <c r="F325" s="57"/>
    </row>
    <row r="326">
      <c r="F326" s="57"/>
    </row>
    <row r="327">
      <c r="F327" s="57"/>
    </row>
    <row r="328">
      <c r="F328" s="57"/>
    </row>
    <row r="329">
      <c r="F329" s="57"/>
    </row>
    <row r="330">
      <c r="F330" s="57"/>
    </row>
    <row r="331">
      <c r="F331" s="57"/>
    </row>
    <row r="332">
      <c r="F332" s="57"/>
    </row>
    <row r="333">
      <c r="F333" s="57"/>
    </row>
    <row r="334">
      <c r="F334" s="57"/>
    </row>
    <row r="335">
      <c r="F335" s="57"/>
    </row>
    <row r="336">
      <c r="F336" s="57"/>
    </row>
    <row r="337">
      <c r="F337" s="57"/>
    </row>
    <row r="338">
      <c r="F338" s="57"/>
    </row>
    <row r="339">
      <c r="F339" s="57"/>
    </row>
    <row r="340">
      <c r="F340" s="57"/>
    </row>
    <row r="341">
      <c r="F341" s="57"/>
    </row>
    <row r="342">
      <c r="F342" s="57"/>
    </row>
    <row r="343">
      <c r="F343" s="57"/>
    </row>
    <row r="344">
      <c r="F344" s="57"/>
    </row>
    <row r="345">
      <c r="F345" s="57"/>
    </row>
    <row r="346">
      <c r="F346" s="57"/>
    </row>
    <row r="347">
      <c r="F347" s="57"/>
    </row>
    <row r="348">
      <c r="F348" s="57"/>
    </row>
    <row r="349">
      <c r="F349" s="57"/>
    </row>
    <row r="350">
      <c r="F350" s="57"/>
    </row>
    <row r="351">
      <c r="F351" s="57"/>
    </row>
    <row r="352">
      <c r="F352" s="57"/>
    </row>
    <row r="353">
      <c r="F353" s="57"/>
    </row>
    <row r="354">
      <c r="F354" s="57"/>
    </row>
    <row r="355">
      <c r="F355" s="57"/>
    </row>
    <row r="356">
      <c r="F356" s="57"/>
    </row>
    <row r="357">
      <c r="F357" s="57"/>
    </row>
    <row r="358">
      <c r="F358" s="57"/>
    </row>
    <row r="359">
      <c r="F359" s="57"/>
    </row>
    <row r="360">
      <c r="F360" s="57"/>
    </row>
    <row r="361">
      <c r="F361" s="57"/>
    </row>
    <row r="362">
      <c r="F362" s="57"/>
    </row>
    <row r="363">
      <c r="F363" s="57"/>
    </row>
    <row r="364">
      <c r="F364" s="57"/>
    </row>
    <row r="365">
      <c r="F365" s="57"/>
    </row>
    <row r="366">
      <c r="F366" s="57"/>
    </row>
    <row r="367">
      <c r="F367" s="57"/>
    </row>
    <row r="368">
      <c r="F368" s="57"/>
    </row>
    <row r="369">
      <c r="F369" s="57"/>
    </row>
    <row r="370">
      <c r="F370" s="57"/>
    </row>
    <row r="371">
      <c r="F371" s="57"/>
    </row>
    <row r="372">
      <c r="F372" s="57"/>
    </row>
    <row r="373">
      <c r="F373" s="57"/>
    </row>
    <row r="374">
      <c r="F374" s="57"/>
    </row>
    <row r="375">
      <c r="F375" s="57"/>
    </row>
    <row r="376">
      <c r="F376" s="57"/>
    </row>
    <row r="377">
      <c r="F377" s="57"/>
    </row>
    <row r="378">
      <c r="F378" s="57"/>
    </row>
    <row r="379">
      <c r="F379" s="57"/>
    </row>
    <row r="380">
      <c r="F380" s="57"/>
    </row>
    <row r="381">
      <c r="F381" s="57"/>
    </row>
    <row r="382">
      <c r="F382" s="57"/>
    </row>
    <row r="383">
      <c r="F383" s="57"/>
    </row>
    <row r="384">
      <c r="F384" s="57"/>
    </row>
    <row r="385">
      <c r="F385" s="57"/>
    </row>
    <row r="386">
      <c r="F386" s="57"/>
    </row>
    <row r="387">
      <c r="F387" s="57"/>
    </row>
    <row r="388">
      <c r="F388" s="57"/>
    </row>
    <row r="389">
      <c r="F389" s="57"/>
    </row>
    <row r="390">
      <c r="F390" s="57"/>
    </row>
    <row r="391">
      <c r="F391" s="57"/>
    </row>
    <row r="392">
      <c r="F392" s="57"/>
    </row>
    <row r="393">
      <c r="F393" s="57"/>
    </row>
    <row r="394">
      <c r="F394" s="57"/>
    </row>
    <row r="395">
      <c r="F395" s="57"/>
    </row>
    <row r="396">
      <c r="F396" s="57"/>
    </row>
    <row r="397">
      <c r="F397" s="57"/>
    </row>
    <row r="398">
      <c r="F398" s="57"/>
    </row>
    <row r="399">
      <c r="F399" s="57"/>
    </row>
    <row r="400">
      <c r="F400" s="57"/>
    </row>
    <row r="401">
      <c r="F401" s="57"/>
    </row>
    <row r="402">
      <c r="F402" s="57"/>
    </row>
    <row r="403">
      <c r="F403" s="57"/>
    </row>
    <row r="404">
      <c r="F404" s="57"/>
    </row>
    <row r="405">
      <c r="F405" s="57"/>
    </row>
    <row r="406">
      <c r="F406" s="57"/>
    </row>
    <row r="407">
      <c r="F407" s="57"/>
    </row>
    <row r="408">
      <c r="F408" s="57"/>
    </row>
    <row r="409">
      <c r="F409" s="57"/>
    </row>
    <row r="410">
      <c r="F410" s="57"/>
    </row>
    <row r="411">
      <c r="F411" s="57"/>
    </row>
    <row r="412">
      <c r="F412" s="57"/>
    </row>
    <row r="413">
      <c r="F413" s="57"/>
    </row>
    <row r="414">
      <c r="F414" s="57"/>
    </row>
    <row r="415">
      <c r="F415" s="57"/>
    </row>
    <row r="416">
      <c r="F416" s="57"/>
    </row>
    <row r="417">
      <c r="F417" s="57"/>
    </row>
    <row r="418">
      <c r="F418" s="57"/>
    </row>
    <row r="419">
      <c r="F419" s="57"/>
    </row>
    <row r="420">
      <c r="F420" s="57"/>
    </row>
    <row r="421">
      <c r="F421" s="57"/>
    </row>
    <row r="422">
      <c r="F422" s="57"/>
    </row>
    <row r="423">
      <c r="F423" s="57"/>
    </row>
    <row r="424">
      <c r="F424" s="57"/>
    </row>
    <row r="425">
      <c r="F425" s="57"/>
    </row>
    <row r="426">
      <c r="F426" s="57"/>
    </row>
    <row r="427">
      <c r="F427" s="57"/>
    </row>
    <row r="428">
      <c r="F428" s="57"/>
    </row>
    <row r="429">
      <c r="F429" s="57"/>
    </row>
    <row r="430">
      <c r="F430" s="57"/>
    </row>
    <row r="431">
      <c r="F431" s="57"/>
    </row>
    <row r="432">
      <c r="F432" s="57"/>
    </row>
    <row r="433">
      <c r="F433" s="57"/>
    </row>
    <row r="434">
      <c r="F434" s="57"/>
    </row>
    <row r="435">
      <c r="F435" s="57"/>
    </row>
    <row r="436">
      <c r="F436" s="57"/>
    </row>
    <row r="437">
      <c r="F437" s="57"/>
    </row>
    <row r="438">
      <c r="F438" s="57"/>
    </row>
    <row r="439">
      <c r="F439" s="57"/>
    </row>
    <row r="440">
      <c r="F440" s="57"/>
    </row>
    <row r="441">
      <c r="F441" s="57"/>
    </row>
    <row r="442">
      <c r="F442" s="57"/>
    </row>
    <row r="443">
      <c r="F443" s="57"/>
    </row>
    <row r="444">
      <c r="F444" s="57"/>
    </row>
    <row r="445">
      <c r="F445" s="57"/>
    </row>
    <row r="446">
      <c r="F446" s="57"/>
    </row>
    <row r="447">
      <c r="F447" s="57"/>
    </row>
    <row r="448">
      <c r="F448" s="57"/>
    </row>
    <row r="449">
      <c r="F449" s="57"/>
    </row>
    <row r="450">
      <c r="F450" s="57"/>
    </row>
    <row r="451">
      <c r="F451" s="57"/>
    </row>
    <row r="452">
      <c r="F452" s="57"/>
    </row>
    <row r="453">
      <c r="F453" s="57"/>
    </row>
    <row r="454">
      <c r="F454" s="57"/>
    </row>
    <row r="455">
      <c r="F455" s="57"/>
    </row>
    <row r="456">
      <c r="F456" s="57"/>
    </row>
    <row r="457">
      <c r="F457" s="57"/>
    </row>
    <row r="458">
      <c r="F458" s="57"/>
    </row>
    <row r="459">
      <c r="F459" s="57"/>
    </row>
    <row r="460">
      <c r="F460" s="57"/>
    </row>
    <row r="461">
      <c r="F461" s="57"/>
    </row>
    <row r="462">
      <c r="F462" s="57"/>
    </row>
    <row r="463">
      <c r="F463" s="57"/>
    </row>
    <row r="464">
      <c r="F464" s="57"/>
    </row>
    <row r="465">
      <c r="F465" s="57"/>
    </row>
    <row r="466">
      <c r="F466" s="57"/>
    </row>
    <row r="467">
      <c r="F467" s="57"/>
    </row>
    <row r="468">
      <c r="F468" s="57"/>
    </row>
    <row r="469">
      <c r="F469" s="57"/>
    </row>
    <row r="470">
      <c r="F470" s="57"/>
    </row>
    <row r="471">
      <c r="F471" s="57"/>
    </row>
    <row r="472">
      <c r="F472" s="57"/>
    </row>
    <row r="473">
      <c r="F473" s="57"/>
    </row>
    <row r="474">
      <c r="F474" s="57"/>
    </row>
    <row r="475">
      <c r="F475" s="57"/>
    </row>
    <row r="476">
      <c r="F476" s="57"/>
    </row>
    <row r="477">
      <c r="F477" s="57"/>
    </row>
    <row r="478">
      <c r="F478" s="57"/>
    </row>
    <row r="479">
      <c r="F479" s="57"/>
    </row>
    <row r="480">
      <c r="F480" s="57"/>
    </row>
    <row r="481">
      <c r="F481" s="57"/>
    </row>
    <row r="482">
      <c r="F482" s="57"/>
    </row>
    <row r="483">
      <c r="F483" s="57"/>
    </row>
    <row r="484">
      <c r="F484" s="57"/>
    </row>
    <row r="485">
      <c r="F485" s="57"/>
    </row>
    <row r="486">
      <c r="F486" s="57"/>
    </row>
    <row r="487">
      <c r="F487" s="57"/>
    </row>
    <row r="488">
      <c r="F488" s="57"/>
    </row>
    <row r="489">
      <c r="F489" s="57"/>
    </row>
    <row r="490">
      <c r="F490" s="57"/>
    </row>
    <row r="491">
      <c r="F491" s="57"/>
    </row>
    <row r="492">
      <c r="F492" s="57"/>
    </row>
    <row r="493">
      <c r="F493" s="57"/>
    </row>
    <row r="494">
      <c r="F494" s="57"/>
    </row>
    <row r="495">
      <c r="F495" s="57"/>
    </row>
    <row r="496">
      <c r="F496" s="57"/>
    </row>
    <row r="497">
      <c r="F497" s="57"/>
    </row>
    <row r="498">
      <c r="F498" s="57"/>
    </row>
    <row r="499">
      <c r="F499" s="57"/>
    </row>
    <row r="500">
      <c r="F500" s="57"/>
    </row>
    <row r="501">
      <c r="F501" s="57"/>
    </row>
    <row r="502">
      <c r="F502" s="57"/>
    </row>
    <row r="503">
      <c r="F503" s="57"/>
    </row>
    <row r="504">
      <c r="F504" s="57"/>
    </row>
    <row r="505">
      <c r="F505" s="57"/>
    </row>
    <row r="506">
      <c r="F506" s="57"/>
    </row>
    <row r="507">
      <c r="F507" s="57"/>
    </row>
    <row r="508">
      <c r="F508" s="57"/>
    </row>
    <row r="509">
      <c r="F509" s="57"/>
    </row>
    <row r="510">
      <c r="F510" s="57"/>
    </row>
    <row r="511">
      <c r="F511" s="57"/>
    </row>
    <row r="512">
      <c r="F512" s="57"/>
    </row>
    <row r="513">
      <c r="F513" s="57"/>
    </row>
    <row r="514">
      <c r="F514" s="57"/>
    </row>
    <row r="515">
      <c r="F515" s="57"/>
    </row>
    <row r="516">
      <c r="F516" s="57"/>
    </row>
    <row r="517">
      <c r="F517" s="57"/>
    </row>
    <row r="518">
      <c r="F518" s="57"/>
    </row>
    <row r="519">
      <c r="F519" s="57"/>
    </row>
    <row r="520">
      <c r="F520" s="57"/>
    </row>
    <row r="521">
      <c r="F521" s="57"/>
    </row>
    <row r="522">
      <c r="F522" s="57"/>
    </row>
    <row r="523">
      <c r="F523" s="57"/>
    </row>
    <row r="524">
      <c r="F524" s="57"/>
    </row>
    <row r="525">
      <c r="F525" s="57"/>
    </row>
    <row r="526">
      <c r="F526" s="57"/>
    </row>
    <row r="527">
      <c r="F527" s="57"/>
    </row>
    <row r="528">
      <c r="F528" s="57"/>
    </row>
    <row r="529">
      <c r="F529" s="57"/>
    </row>
    <row r="530">
      <c r="F530" s="57"/>
    </row>
    <row r="531">
      <c r="F531" s="57"/>
    </row>
    <row r="532">
      <c r="F532" s="57"/>
    </row>
    <row r="533">
      <c r="F533" s="57"/>
    </row>
    <row r="534">
      <c r="F534" s="57"/>
    </row>
    <row r="535">
      <c r="F535" s="57"/>
    </row>
    <row r="536">
      <c r="F536" s="57"/>
    </row>
    <row r="537">
      <c r="F537" s="57"/>
    </row>
    <row r="538">
      <c r="F538" s="57"/>
    </row>
    <row r="539">
      <c r="F539" s="57"/>
    </row>
    <row r="540">
      <c r="F540" s="57"/>
    </row>
    <row r="541">
      <c r="F541" s="57"/>
    </row>
    <row r="542">
      <c r="F542" s="57"/>
    </row>
    <row r="543">
      <c r="F543" s="57"/>
    </row>
    <row r="544">
      <c r="F544" s="57"/>
    </row>
    <row r="545">
      <c r="F545" s="57"/>
    </row>
    <row r="546">
      <c r="F546" s="57"/>
    </row>
    <row r="547">
      <c r="F547" s="57"/>
    </row>
    <row r="548">
      <c r="F548" s="57"/>
    </row>
    <row r="549">
      <c r="F549" s="57"/>
    </row>
    <row r="550">
      <c r="F550" s="57"/>
    </row>
    <row r="551">
      <c r="F551" s="57"/>
    </row>
    <row r="552">
      <c r="F552" s="57"/>
    </row>
    <row r="553">
      <c r="F553" s="57"/>
    </row>
    <row r="554">
      <c r="F554" s="57"/>
    </row>
    <row r="555">
      <c r="F555" s="57"/>
    </row>
    <row r="556">
      <c r="F556" s="57"/>
    </row>
    <row r="557">
      <c r="F557" s="57"/>
    </row>
    <row r="558">
      <c r="F558" s="57"/>
    </row>
    <row r="559">
      <c r="F559" s="57"/>
    </row>
    <row r="560">
      <c r="F560" s="57"/>
    </row>
    <row r="561">
      <c r="F561" s="57"/>
    </row>
    <row r="562">
      <c r="F562" s="57"/>
    </row>
    <row r="563">
      <c r="F563" s="57"/>
    </row>
    <row r="564">
      <c r="F564" s="57"/>
    </row>
    <row r="565">
      <c r="F565" s="57"/>
    </row>
    <row r="566">
      <c r="F566" s="57"/>
    </row>
    <row r="567">
      <c r="F567" s="57"/>
    </row>
    <row r="568">
      <c r="F568" s="57"/>
    </row>
    <row r="569">
      <c r="F569" s="57"/>
    </row>
    <row r="570">
      <c r="F570" s="57"/>
    </row>
    <row r="571">
      <c r="F571" s="57"/>
    </row>
    <row r="572">
      <c r="F572" s="57"/>
    </row>
    <row r="573">
      <c r="F573" s="57"/>
    </row>
    <row r="574">
      <c r="F574" s="57"/>
    </row>
    <row r="575">
      <c r="F575" s="57"/>
    </row>
    <row r="576">
      <c r="F576" s="57"/>
    </row>
    <row r="577">
      <c r="F577" s="57"/>
    </row>
    <row r="578">
      <c r="F578" s="57"/>
    </row>
    <row r="579">
      <c r="F579" s="57"/>
    </row>
    <row r="580">
      <c r="F580" s="57"/>
    </row>
    <row r="581">
      <c r="F581" s="57"/>
    </row>
    <row r="582">
      <c r="F582" s="57"/>
    </row>
    <row r="583">
      <c r="F583" s="57"/>
    </row>
    <row r="584">
      <c r="F584" s="57"/>
    </row>
    <row r="585">
      <c r="F585" s="57"/>
    </row>
    <row r="586">
      <c r="F586" s="57"/>
    </row>
    <row r="587">
      <c r="F587" s="57"/>
    </row>
    <row r="588">
      <c r="F588" s="57"/>
    </row>
    <row r="589">
      <c r="F589" s="57"/>
    </row>
    <row r="590">
      <c r="F590" s="57"/>
    </row>
    <row r="591">
      <c r="F591" s="57"/>
    </row>
    <row r="592">
      <c r="F592" s="57"/>
    </row>
    <row r="593">
      <c r="F593" s="57"/>
    </row>
    <row r="594">
      <c r="F594" s="57"/>
    </row>
    <row r="595">
      <c r="F595" s="57"/>
    </row>
    <row r="596">
      <c r="F596" s="57"/>
    </row>
    <row r="597">
      <c r="F597" s="57"/>
    </row>
    <row r="598">
      <c r="F598" s="57"/>
    </row>
    <row r="599">
      <c r="F599" s="57"/>
    </row>
    <row r="600">
      <c r="F600" s="57"/>
    </row>
    <row r="601">
      <c r="F601" s="57"/>
    </row>
    <row r="602">
      <c r="F602" s="57"/>
    </row>
    <row r="603">
      <c r="F603" s="57"/>
    </row>
    <row r="604">
      <c r="F604" s="57"/>
    </row>
    <row r="605">
      <c r="F605" s="57"/>
    </row>
    <row r="606">
      <c r="F606" s="57"/>
    </row>
    <row r="607">
      <c r="F607" s="57"/>
    </row>
    <row r="608">
      <c r="F608" s="57"/>
    </row>
    <row r="609">
      <c r="F609" s="57"/>
    </row>
    <row r="610">
      <c r="F610" s="57"/>
    </row>
    <row r="611">
      <c r="F611" s="57"/>
    </row>
    <row r="612">
      <c r="F612" s="57"/>
    </row>
    <row r="613">
      <c r="F613" s="57"/>
    </row>
    <row r="614">
      <c r="F614" s="57"/>
    </row>
    <row r="615">
      <c r="F615" s="57"/>
    </row>
    <row r="616">
      <c r="F616" s="57"/>
    </row>
    <row r="617">
      <c r="F617" s="57"/>
    </row>
    <row r="618">
      <c r="F618" s="57"/>
    </row>
    <row r="619">
      <c r="F619" s="57"/>
    </row>
    <row r="620">
      <c r="F620" s="57"/>
    </row>
    <row r="621">
      <c r="F621" s="57"/>
    </row>
    <row r="622">
      <c r="F622" s="57"/>
    </row>
    <row r="623">
      <c r="F623" s="57"/>
    </row>
    <row r="624">
      <c r="F624" s="57"/>
    </row>
    <row r="625">
      <c r="F625" s="57"/>
    </row>
    <row r="626">
      <c r="F626" s="57"/>
    </row>
    <row r="627">
      <c r="F627" s="57"/>
    </row>
    <row r="628">
      <c r="F628" s="57"/>
    </row>
    <row r="629">
      <c r="F629" s="57"/>
    </row>
    <row r="630">
      <c r="F630" s="57"/>
    </row>
    <row r="631">
      <c r="F631" s="57"/>
    </row>
    <row r="632">
      <c r="F632" s="57"/>
    </row>
    <row r="633">
      <c r="F633" s="57"/>
    </row>
    <row r="634">
      <c r="F634" s="57"/>
    </row>
    <row r="635">
      <c r="F635" s="57"/>
    </row>
    <row r="636">
      <c r="F636" s="57"/>
    </row>
    <row r="637">
      <c r="F637" s="57"/>
    </row>
    <row r="638">
      <c r="F638" s="57"/>
    </row>
    <row r="639">
      <c r="F639" s="57"/>
    </row>
    <row r="640">
      <c r="F640" s="57"/>
    </row>
    <row r="641">
      <c r="F641" s="57"/>
    </row>
    <row r="642">
      <c r="F642" s="57"/>
    </row>
    <row r="643">
      <c r="F643" s="57"/>
    </row>
    <row r="644">
      <c r="F644" s="57"/>
    </row>
    <row r="645">
      <c r="F645" s="57"/>
    </row>
    <row r="646">
      <c r="F646" s="57"/>
    </row>
    <row r="647">
      <c r="F647" s="57"/>
    </row>
    <row r="648">
      <c r="F648" s="57"/>
    </row>
    <row r="649">
      <c r="F649" s="57"/>
    </row>
    <row r="650">
      <c r="F650" s="57"/>
    </row>
    <row r="651">
      <c r="F651" s="57"/>
    </row>
    <row r="652">
      <c r="F652" s="57"/>
    </row>
    <row r="653">
      <c r="F653" s="57"/>
    </row>
    <row r="654">
      <c r="F654" s="57"/>
    </row>
    <row r="655">
      <c r="F655" s="57"/>
    </row>
    <row r="656">
      <c r="F656" s="57"/>
    </row>
    <row r="657">
      <c r="F657" s="57"/>
    </row>
    <row r="658">
      <c r="F658" s="57"/>
    </row>
    <row r="659">
      <c r="F659" s="57"/>
    </row>
    <row r="660">
      <c r="F660" s="57"/>
    </row>
    <row r="661">
      <c r="F661" s="57"/>
    </row>
    <row r="662">
      <c r="F662" s="57"/>
    </row>
    <row r="663">
      <c r="F663" s="57"/>
    </row>
    <row r="664">
      <c r="F664" s="57"/>
    </row>
    <row r="665">
      <c r="F665" s="57"/>
    </row>
    <row r="666">
      <c r="F666" s="57"/>
    </row>
    <row r="667">
      <c r="F667" s="57"/>
    </row>
    <row r="668">
      <c r="F668" s="57"/>
    </row>
    <row r="669">
      <c r="F669" s="57"/>
    </row>
    <row r="670">
      <c r="F670" s="57"/>
    </row>
    <row r="671">
      <c r="F671" s="57"/>
    </row>
    <row r="672">
      <c r="F672" s="57"/>
    </row>
    <row r="673">
      <c r="F673" s="57"/>
    </row>
    <row r="674">
      <c r="F674" s="57"/>
    </row>
    <row r="675">
      <c r="F675" s="57"/>
    </row>
    <row r="676">
      <c r="F676" s="57"/>
    </row>
    <row r="677">
      <c r="F677" s="57"/>
    </row>
    <row r="678">
      <c r="F678" s="57"/>
    </row>
    <row r="679">
      <c r="F679" s="57"/>
    </row>
    <row r="680">
      <c r="F680" s="57"/>
    </row>
    <row r="681">
      <c r="F681" s="57"/>
    </row>
    <row r="682">
      <c r="F682" s="57"/>
    </row>
    <row r="683">
      <c r="F683" s="57"/>
    </row>
    <row r="684">
      <c r="F684" s="57"/>
    </row>
    <row r="685">
      <c r="F685" s="57"/>
    </row>
    <row r="686">
      <c r="F686" s="57"/>
    </row>
    <row r="687">
      <c r="F687" s="57"/>
    </row>
    <row r="688">
      <c r="F688" s="57"/>
    </row>
    <row r="689">
      <c r="F689" s="57"/>
    </row>
    <row r="690">
      <c r="F690" s="57"/>
    </row>
    <row r="691">
      <c r="F691" s="57"/>
    </row>
    <row r="692">
      <c r="F692" s="57"/>
    </row>
    <row r="693">
      <c r="F693" s="57"/>
    </row>
    <row r="694">
      <c r="F694" s="57"/>
    </row>
    <row r="695">
      <c r="F695" s="57"/>
    </row>
    <row r="696">
      <c r="F696" s="57"/>
    </row>
    <row r="697">
      <c r="F697" s="57"/>
    </row>
    <row r="698">
      <c r="F698" s="57"/>
    </row>
    <row r="699">
      <c r="F699" s="57"/>
    </row>
    <row r="700">
      <c r="F700" s="57"/>
    </row>
    <row r="701">
      <c r="F701" s="57"/>
    </row>
    <row r="702">
      <c r="F702" s="57"/>
    </row>
    <row r="703">
      <c r="F703" s="57"/>
    </row>
    <row r="704">
      <c r="F704" s="57"/>
    </row>
    <row r="705">
      <c r="F705" s="57"/>
    </row>
    <row r="706">
      <c r="F706" s="57"/>
    </row>
    <row r="707">
      <c r="F707" s="57"/>
    </row>
    <row r="708">
      <c r="F708" s="57"/>
    </row>
    <row r="709">
      <c r="F709" s="57"/>
    </row>
    <row r="710">
      <c r="F710" s="57"/>
    </row>
    <row r="711">
      <c r="F711" s="57"/>
    </row>
    <row r="712">
      <c r="F712" s="57"/>
    </row>
    <row r="713">
      <c r="F713" s="57"/>
    </row>
    <row r="714">
      <c r="F714" s="57"/>
    </row>
    <row r="715">
      <c r="F715" s="57"/>
    </row>
    <row r="716">
      <c r="F716" s="57"/>
    </row>
    <row r="717">
      <c r="F717" s="57"/>
    </row>
    <row r="718">
      <c r="F718" s="57"/>
    </row>
    <row r="719">
      <c r="F719" s="57"/>
    </row>
    <row r="720">
      <c r="F720" s="57"/>
    </row>
    <row r="721">
      <c r="F721" s="57"/>
    </row>
    <row r="722">
      <c r="F722" s="57"/>
    </row>
    <row r="723">
      <c r="F723" s="57"/>
    </row>
    <row r="724">
      <c r="F724" s="57"/>
    </row>
    <row r="725">
      <c r="F725" s="57"/>
    </row>
    <row r="726">
      <c r="F726" s="57"/>
    </row>
    <row r="727">
      <c r="F727" s="57"/>
    </row>
    <row r="728">
      <c r="F728" s="57"/>
    </row>
    <row r="729">
      <c r="F729" s="57"/>
    </row>
    <row r="730">
      <c r="F730" s="57"/>
    </row>
    <row r="731">
      <c r="F731" s="57"/>
    </row>
    <row r="732">
      <c r="F732" s="57"/>
    </row>
    <row r="733">
      <c r="F733" s="57"/>
    </row>
    <row r="734">
      <c r="F734" s="57"/>
    </row>
    <row r="735">
      <c r="F735" s="57"/>
    </row>
    <row r="736">
      <c r="F736" s="57"/>
    </row>
    <row r="737">
      <c r="F737" s="57"/>
    </row>
    <row r="738">
      <c r="F738" s="57"/>
    </row>
    <row r="739">
      <c r="F739" s="57"/>
    </row>
    <row r="740">
      <c r="F740" s="57"/>
    </row>
    <row r="741">
      <c r="F741" s="57"/>
    </row>
    <row r="742">
      <c r="F742" s="57"/>
    </row>
    <row r="743">
      <c r="F743" s="57"/>
    </row>
    <row r="744">
      <c r="F744" s="57"/>
    </row>
    <row r="745">
      <c r="F745" s="57"/>
    </row>
    <row r="746">
      <c r="F746" s="57"/>
    </row>
    <row r="747">
      <c r="F747" s="57"/>
    </row>
    <row r="748">
      <c r="F748" s="57"/>
    </row>
    <row r="749">
      <c r="F749" s="57"/>
    </row>
    <row r="750">
      <c r="F750" s="57"/>
    </row>
    <row r="751">
      <c r="F751" s="57"/>
    </row>
    <row r="752">
      <c r="F752" s="57"/>
    </row>
    <row r="753">
      <c r="F753" s="57"/>
    </row>
    <row r="754">
      <c r="F754" s="57"/>
    </row>
    <row r="755">
      <c r="F755" s="57"/>
    </row>
    <row r="756">
      <c r="F756" s="57"/>
    </row>
    <row r="757">
      <c r="F757" s="57"/>
    </row>
    <row r="758">
      <c r="F758" s="57"/>
    </row>
    <row r="759">
      <c r="F759" s="57"/>
    </row>
    <row r="760">
      <c r="F760" s="57"/>
    </row>
    <row r="761">
      <c r="F761" s="57"/>
    </row>
    <row r="762">
      <c r="F762" s="57"/>
    </row>
    <row r="763">
      <c r="F763" s="57"/>
    </row>
    <row r="764">
      <c r="F764" s="57"/>
    </row>
    <row r="765">
      <c r="F765" s="57"/>
    </row>
    <row r="766">
      <c r="F766" s="57"/>
    </row>
    <row r="767">
      <c r="F767" s="57"/>
    </row>
    <row r="768">
      <c r="F768" s="57"/>
    </row>
    <row r="769">
      <c r="F769" s="57"/>
    </row>
    <row r="770">
      <c r="F770" s="57"/>
    </row>
    <row r="771">
      <c r="F771" s="57"/>
    </row>
    <row r="772">
      <c r="F772" s="57"/>
    </row>
    <row r="773">
      <c r="F773" s="57"/>
    </row>
    <row r="774">
      <c r="F774" s="57"/>
    </row>
    <row r="775">
      <c r="F775" s="57"/>
    </row>
    <row r="776">
      <c r="F776" s="57"/>
    </row>
    <row r="777">
      <c r="F777" s="57"/>
    </row>
    <row r="778">
      <c r="F778" s="57"/>
    </row>
    <row r="779">
      <c r="F779" s="57"/>
    </row>
    <row r="780">
      <c r="F780" s="57"/>
    </row>
    <row r="781">
      <c r="F781" s="57"/>
    </row>
    <row r="782">
      <c r="F782" s="57"/>
    </row>
    <row r="783">
      <c r="F783" s="57"/>
    </row>
    <row r="784">
      <c r="F784" s="57"/>
    </row>
    <row r="785">
      <c r="F785" s="57"/>
    </row>
    <row r="786">
      <c r="F786" s="57"/>
    </row>
    <row r="787">
      <c r="F787" s="57"/>
    </row>
    <row r="788">
      <c r="F788" s="57"/>
    </row>
    <row r="789">
      <c r="F789" s="57"/>
    </row>
    <row r="790">
      <c r="F790" s="57"/>
    </row>
    <row r="791">
      <c r="F791" s="57"/>
    </row>
    <row r="792">
      <c r="F792" s="57"/>
    </row>
    <row r="793">
      <c r="F793" s="57"/>
    </row>
    <row r="794">
      <c r="F794" s="57"/>
    </row>
    <row r="795">
      <c r="F795" s="57"/>
    </row>
    <row r="796">
      <c r="F796" s="57"/>
    </row>
    <row r="797">
      <c r="F797" s="57"/>
    </row>
    <row r="798">
      <c r="F798" s="57"/>
    </row>
    <row r="799">
      <c r="F799" s="57"/>
    </row>
    <row r="800">
      <c r="F800" s="57"/>
    </row>
    <row r="801">
      <c r="F801" s="57"/>
    </row>
    <row r="802">
      <c r="F802" s="57"/>
    </row>
    <row r="803">
      <c r="F803" s="57"/>
    </row>
    <row r="804">
      <c r="F804" s="57"/>
    </row>
    <row r="805">
      <c r="F805" s="57"/>
    </row>
    <row r="806">
      <c r="F806" s="57"/>
    </row>
    <row r="807">
      <c r="F807" s="57"/>
    </row>
    <row r="808">
      <c r="F808" s="57"/>
    </row>
    <row r="809">
      <c r="F809" s="57"/>
    </row>
    <row r="810">
      <c r="F810" s="57"/>
    </row>
    <row r="811">
      <c r="F811" s="57"/>
    </row>
    <row r="812">
      <c r="F812" s="57"/>
    </row>
    <row r="813">
      <c r="F813" s="57"/>
    </row>
    <row r="814">
      <c r="F814" s="57"/>
    </row>
    <row r="815">
      <c r="F815" s="57"/>
    </row>
    <row r="816">
      <c r="F816" s="57"/>
    </row>
    <row r="817">
      <c r="F817" s="57"/>
    </row>
    <row r="818">
      <c r="F818" s="57"/>
    </row>
    <row r="819">
      <c r="F819" s="57"/>
    </row>
    <row r="820">
      <c r="F820" s="57"/>
    </row>
    <row r="821">
      <c r="F821" s="57"/>
    </row>
    <row r="822">
      <c r="F822" s="57"/>
    </row>
    <row r="823">
      <c r="F823" s="57"/>
    </row>
    <row r="824">
      <c r="F824" s="57"/>
    </row>
    <row r="825">
      <c r="F825" s="57"/>
    </row>
    <row r="826">
      <c r="F826" s="57"/>
    </row>
    <row r="827">
      <c r="F827" s="57"/>
    </row>
    <row r="828">
      <c r="F828" s="57"/>
    </row>
    <row r="829">
      <c r="F829" s="57"/>
    </row>
    <row r="830">
      <c r="F830" s="57"/>
    </row>
    <row r="831">
      <c r="F831" s="57"/>
    </row>
    <row r="832">
      <c r="F832" s="57"/>
    </row>
    <row r="833">
      <c r="F833" s="57"/>
    </row>
    <row r="834">
      <c r="F834" s="57"/>
    </row>
    <row r="835">
      <c r="F835" s="57"/>
    </row>
    <row r="836">
      <c r="F836" s="57"/>
    </row>
    <row r="837">
      <c r="F837" s="57"/>
    </row>
    <row r="838">
      <c r="F838" s="57"/>
    </row>
    <row r="839">
      <c r="F839" s="57"/>
    </row>
    <row r="840">
      <c r="F840" s="57"/>
    </row>
    <row r="841">
      <c r="F841" s="57"/>
    </row>
    <row r="842">
      <c r="F842" s="57"/>
    </row>
    <row r="843">
      <c r="F843" s="57"/>
    </row>
    <row r="844">
      <c r="F844" s="57"/>
    </row>
    <row r="845">
      <c r="F845" s="57"/>
    </row>
    <row r="846">
      <c r="F846" s="57"/>
    </row>
    <row r="847">
      <c r="F847" s="57"/>
    </row>
    <row r="848">
      <c r="F848" s="57"/>
    </row>
    <row r="849">
      <c r="F849" s="57"/>
    </row>
    <row r="850">
      <c r="F850" s="57"/>
    </row>
    <row r="851">
      <c r="F851" s="57"/>
    </row>
    <row r="852">
      <c r="F852" s="57"/>
    </row>
    <row r="853">
      <c r="F853" s="57"/>
    </row>
    <row r="854">
      <c r="F854" s="57"/>
    </row>
    <row r="855">
      <c r="F855" s="57"/>
    </row>
    <row r="856">
      <c r="F856" s="57"/>
    </row>
    <row r="857">
      <c r="F857" s="57"/>
    </row>
    <row r="858">
      <c r="F858" s="57"/>
    </row>
    <row r="859">
      <c r="F859" s="57"/>
    </row>
    <row r="860">
      <c r="F860" s="57"/>
    </row>
    <row r="861">
      <c r="F861" s="57"/>
    </row>
    <row r="862">
      <c r="F862" s="57"/>
    </row>
    <row r="863">
      <c r="F863" s="57"/>
    </row>
    <row r="864">
      <c r="F864" s="57"/>
    </row>
    <row r="865">
      <c r="F865" s="57"/>
    </row>
    <row r="866">
      <c r="F866" s="57"/>
    </row>
    <row r="867">
      <c r="F867" s="57"/>
    </row>
    <row r="868">
      <c r="F868" s="57"/>
    </row>
    <row r="869">
      <c r="F869" s="57"/>
    </row>
    <row r="870">
      <c r="F870" s="57"/>
    </row>
    <row r="871">
      <c r="F871" s="57"/>
    </row>
    <row r="872">
      <c r="F872" s="57"/>
    </row>
    <row r="873">
      <c r="F873" s="57"/>
    </row>
    <row r="874">
      <c r="F874" s="57"/>
    </row>
    <row r="875">
      <c r="F875" s="57"/>
    </row>
    <row r="876">
      <c r="F876" s="57"/>
    </row>
    <row r="877">
      <c r="F877" s="57"/>
    </row>
    <row r="878">
      <c r="F878" s="57"/>
    </row>
    <row r="879">
      <c r="F879" s="57"/>
    </row>
    <row r="880">
      <c r="F880" s="57"/>
    </row>
    <row r="881">
      <c r="F881" s="57"/>
    </row>
    <row r="882">
      <c r="F882" s="57"/>
    </row>
    <row r="883">
      <c r="F883" s="57"/>
    </row>
    <row r="884">
      <c r="F884" s="57"/>
    </row>
    <row r="885">
      <c r="F885" s="57"/>
    </row>
    <row r="886">
      <c r="F886" s="57"/>
    </row>
    <row r="887">
      <c r="F887" s="57"/>
    </row>
    <row r="888">
      <c r="F888" s="57"/>
    </row>
    <row r="889">
      <c r="F889" s="57"/>
    </row>
    <row r="890">
      <c r="F890" s="57"/>
    </row>
    <row r="891">
      <c r="F891" s="57"/>
    </row>
    <row r="892">
      <c r="F892" s="57"/>
    </row>
    <row r="893">
      <c r="F893" s="57"/>
    </row>
    <row r="894">
      <c r="F894" s="57"/>
    </row>
    <row r="895">
      <c r="F895" s="57"/>
    </row>
    <row r="896">
      <c r="F896" s="57"/>
    </row>
    <row r="897">
      <c r="F897" s="57"/>
    </row>
    <row r="898">
      <c r="F898" s="57"/>
    </row>
    <row r="899">
      <c r="F899" s="57"/>
    </row>
    <row r="900">
      <c r="F900" s="57"/>
    </row>
    <row r="901">
      <c r="F901" s="57"/>
    </row>
    <row r="902">
      <c r="F902" s="57"/>
    </row>
    <row r="903">
      <c r="F903" s="57"/>
    </row>
    <row r="904">
      <c r="F904" s="57"/>
    </row>
    <row r="905">
      <c r="F905" s="57"/>
    </row>
    <row r="906">
      <c r="F906" s="57"/>
    </row>
    <row r="907">
      <c r="F907" s="57"/>
    </row>
    <row r="908">
      <c r="F908" s="57"/>
    </row>
    <row r="909">
      <c r="F909" s="57"/>
    </row>
    <row r="910">
      <c r="F910" s="57"/>
    </row>
    <row r="911">
      <c r="F911" s="57"/>
    </row>
    <row r="912">
      <c r="F912" s="57"/>
    </row>
    <row r="913">
      <c r="F913" s="57"/>
    </row>
    <row r="914">
      <c r="F914" s="57"/>
    </row>
    <row r="915">
      <c r="F915" s="57"/>
    </row>
    <row r="916">
      <c r="F916" s="57"/>
    </row>
    <row r="917">
      <c r="F917" s="57"/>
    </row>
    <row r="918">
      <c r="F918" s="57"/>
    </row>
    <row r="919">
      <c r="F919" s="57"/>
    </row>
    <row r="920">
      <c r="F920" s="57"/>
    </row>
    <row r="921">
      <c r="F921" s="57"/>
    </row>
    <row r="922">
      <c r="F922" s="57"/>
    </row>
    <row r="923">
      <c r="F923" s="57"/>
    </row>
    <row r="924">
      <c r="F924" s="57"/>
    </row>
    <row r="925">
      <c r="F925" s="57"/>
    </row>
    <row r="926">
      <c r="F926" s="57"/>
    </row>
    <row r="927">
      <c r="F927" s="57"/>
    </row>
    <row r="928">
      <c r="F928" s="57"/>
    </row>
    <row r="929">
      <c r="F929" s="57"/>
    </row>
    <row r="930">
      <c r="F930" s="57"/>
    </row>
    <row r="931">
      <c r="F931" s="57"/>
    </row>
    <row r="932">
      <c r="F932" s="57"/>
    </row>
    <row r="933">
      <c r="F933" s="57"/>
    </row>
    <row r="934">
      <c r="F934" s="57"/>
    </row>
    <row r="935">
      <c r="F935" s="57"/>
    </row>
    <row r="936">
      <c r="F936" s="57"/>
    </row>
    <row r="937">
      <c r="F937" s="57"/>
    </row>
    <row r="938">
      <c r="F938" s="57"/>
    </row>
    <row r="939">
      <c r="F939" s="57"/>
    </row>
    <row r="940">
      <c r="F940" s="57"/>
    </row>
    <row r="941">
      <c r="F941" s="57"/>
    </row>
    <row r="942">
      <c r="F942" s="57"/>
    </row>
    <row r="943">
      <c r="F943" s="57"/>
    </row>
    <row r="944">
      <c r="F944" s="57"/>
    </row>
    <row r="945">
      <c r="F945" s="57"/>
    </row>
    <row r="946">
      <c r="F946" s="57"/>
    </row>
    <row r="947">
      <c r="F947" s="57"/>
    </row>
    <row r="948">
      <c r="F948" s="57"/>
    </row>
    <row r="949">
      <c r="F949" s="57"/>
    </row>
    <row r="950">
      <c r="F950" s="57"/>
    </row>
    <row r="951">
      <c r="F951" s="57"/>
    </row>
    <row r="952">
      <c r="F952" s="57"/>
    </row>
    <row r="953">
      <c r="F953" s="57"/>
    </row>
    <row r="954">
      <c r="F954" s="57"/>
    </row>
    <row r="955">
      <c r="F955" s="57"/>
    </row>
    <row r="956">
      <c r="F956" s="57"/>
    </row>
    <row r="957">
      <c r="F957" s="57"/>
    </row>
    <row r="958">
      <c r="F958" s="57"/>
    </row>
    <row r="959">
      <c r="F959" s="57"/>
    </row>
    <row r="960">
      <c r="F960" s="57"/>
    </row>
    <row r="961">
      <c r="F961" s="57"/>
    </row>
    <row r="962">
      <c r="F962" s="57"/>
    </row>
    <row r="963">
      <c r="F963" s="57"/>
    </row>
    <row r="964">
      <c r="F964" s="57"/>
    </row>
    <row r="965">
      <c r="F965" s="57"/>
    </row>
    <row r="966">
      <c r="F966" s="57"/>
    </row>
    <row r="967">
      <c r="F967" s="57"/>
    </row>
    <row r="968">
      <c r="F968" s="57"/>
    </row>
    <row r="969">
      <c r="F969" s="57"/>
    </row>
    <row r="970">
      <c r="F970" s="57"/>
    </row>
    <row r="971">
      <c r="F971" s="57"/>
    </row>
    <row r="972">
      <c r="F972" s="57"/>
    </row>
    <row r="973">
      <c r="F973" s="57"/>
    </row>
    <row r="974">
      <c r="F974" s="57"/>
    </row>
    <row r="975">
      <c r="F975" s="57"/>
    </row>
    <row r="976">
      <c r="F976" s="57"/>
    </row>
    <row r="977">
      <c r="F977" s="57"/>
    </row>
    <row r="978">
      <c r="F978" s="57"/>
    </row>
    <row r="979">
      <c r="F979" s="57"/>
    </row>
    <row r="980">
      <c r="F980" s="57"/>
    </row>
    <row r="981">
      <c r="F981" s="57"/>
    </row>
    <row r="982">
      <c r="F982" s="57"/>
    </row>
    <row r="983">
      <c r="F983" s="57"/>
    </row>
    <row r="984">
      <c r="F984" s="57"/>
    </row>
    <row r="985">
      <c r="F985" s="57"/>
    </row>
    <row r="986">
      <c r="F986" s="57"/>
    </row>
    <row r="987">
      <c r="F987" s="57"/>
    </row>
    <row r="988">
      <c r="F988" s="57"/>
    </row>
    <row r="989">
      <c r="F989" s="57"/>
    </row>
    <row r="990">
      <c r="F990" s="57"/>
    </row>
    <row r="991">
      <c r="F991" s="57"/>
    </row>
    <row r="992">
      <c r="F992" s="57"/>
    </row>
    <row r="993">
      <c r="F993" s="57"/>
    </row>
    <row r="994">
      <c r="F994" s="57"/>
    </row>
    <row r="995">
      <c r="F995" s="57"/>
    </row>
    <row r="996">
      <c r="F996" s="57"/>
    </row>
    <row r="997">
      <c r="F997" s="57"/>
    </row>
    <row r="998">
      <c r="F998" s="57"/>
    </row>
    <row r="999">
      <c r="F999" s="5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9.63"/>
    <col customWidth="1" min="4" max="4" width="30.5"/>
    <col customWidth="1" min="5" max="5" width="11.38"/>
    <col customWidth="1" min="10" max="10" width="15.13"/>
    <col customWidth="1" min="11" max="11" width="37.75"/>
    <col customWidth="1" min="12" max="12" width="8.0"/>
    <col customWidth="1" min="13" max="13" width="5.38"/>
    <col customWidth="1" min="14" max="14" width="37.75"/>
    <col customWidth="1" min="15" max="15" width="8.0"/>
    <col customWidth="1" min="16" max="16" width="5.38"/>
    <col customWidth="1" min="17" max="17" width="37.75"/>
    <col customWidth="1" min="18" max="18" width="8.0"/>
    <col customWidth="1" min="19" max="19" width="5.38"/>
    <col customWidth="1" min="20" max="20" width="37.75"/>
    <col customWidth="1" min="21" max="21" width="8.0"/>
    <col customWidth="1" min="22" max="22" width="5.38"/>
    <col customWidth="1" min="23" max="23" width="37.75"/>
    <col customWidth="1" min="24" max="24" width="8.0"/>
    <col customWidth="1" min="25" max="25" width="5.38"/>
    <col customWidth="1" min="26" max="26" width="37.75"/>
    <col customWidth="1" min="27" max="27" width="8.0"/>
    <col customWidth="1" min="28" max="28" width="5.38"/>
    <col customWidth="1" min="29" max="29" width="37.75"/>
    <col customWidth="1" min="30" max="30" width="8.0"/>
    <col customWidth="1" min="31" max="31" width="5.38"/>
    <col customWidth="1" min="32" max="32" width="37.75"/>
    <col customWidth="1" min="33" max="33" width="8.0"/>
    <col customWidth="1" min="34" max="34" width="5.38"/>
    <col customWidth="1" min="35" max="35" width="37.75"/>
    <col customWidth="1" min="36" max="36" width="8.0"/>
    <col customWidth="1" min="37" max="37" width="5.38"/>
    <col customWidth="1" min="38" max="38" width="37.75"/>
    <col customWidth="1" min="39" max="39" width="8.0"/>
    <col customWidth="1" min="40" max="40" width="5.38"/>
    <col customWidth="1" min="41" max="41" width="37.75"/>
    <col customWidth="1" min="42" max="42" width="8.0"/>
    <col customWidth="1" min="43" max="43" width="5.38"/>
    <col customWidth="1" min="44" max="44" width="37.75"/>
    <col customWidth="1" min="45" max="45" width="8.0"/>
    <col customWidth="1" min="46" max="46" width="4.75"/>
  </cols>
  <sheetData>
    <row r="1">
      <c r="A1" s="86" t="s">
        <v>318</v>
      </c>
      <c r="B1" s="87"/>
      <c r="C1" s="88"/>
      <c r="D1" s="89" t="s">
        <v>8</v>
      </c>
      <c r="E1" s="90"/>
      <c r="F1" s="88"/>
      <c r="G1" s="88"/>
      <c r="H1" s="88"/>
      <c r="I1" s="88"/>
      <c r="J1" s="91" t="s">
        <v>319</v>
      </c>
      <c r="K1" s="91" t="s">
        <v>320</v>
      </c>
      <c r="L1" s="92"/>
      <c r="M1" s="93"/>
      <c r="N1" s="94" t="s">
        <v>321</v>
      </c>
      <c r="O1" s="95"/>
      <c r="P1" s="93"/>
      <c r="Q1" s="91" t="s">
        <v>322</v>
      </c>
      <c r="R1" s="92"/>
      <c r="S1" s="93"/>
      <c r="T1" s="91" t="s">
        <v>323</v>
      </c>
      <c r="U1" s="92"/>
      <c r="V1" s="93"/>
      <c r="W1" s="91" t="s">
        <v>324</v>
      </c>
      <c r="X1" s="92"/>
      <c r="Y1" s="93"/>
      <c r="Z1" s="91" t="s">
        <v>325</v>
      </c>
      <c r="AA1" s="92"/>
      <c r="AB1" s="93"/>
      <c r="AC1" s="91" t="s">
        <v>326</v>
      </c>
      <c r="AD1" s="92"/>
      <c r="AE1" s="93"/>
      <c r="AF1" s="91" t="s">
        <v>327</v>
      </c>
      <c r="AG1" s="92"/>
      <c r="AH1" s="93"/>
      <c r="AI1" s="91" t="s">
        <v>328</v>
      </c>
      <c r="AJ1" s="92"/>
      <c r="AK1" s="93"/>
      <c r="AL1" s="91" t="s">
        <v>329</v>
      </c>
      <c r="AM1" s="92"/>
      <c r="AN1" s="93"/>
      <c r="AO1" s="91" t="s">
        <v>330</v>
      </c>
      <c r="AP1" s="92"/>
      <c r="AQ1" s="93"/>
      <c r="AR1" s="91" t="s">
        <v>331</v>
      </c>
      <c r="AS1" s="92"/>
      <c r="AT1" s="93"/>
    </row>
    <row r="2">
      <c r="A2" s="13" t="str">
        <f t="array" ref="A2:A130">UNIQUE(
  TOCOL({
    AR2:AR130;
    AO2:AO130;
    AL2:AL130;
    AI2:AI130;
    AF2:AF130;
    AC2:AC130;
    Z2:Z130;
    W2:W130;
    T2:T130;
    Q2:Q130;
    N2:N130;
    K2:K130
  }, 1)
)
</f>
        <v>0001-Downtown Santa Monica Station</v>
      </c>
      <c r="B2" s="84">
        <f t="shared" ref="B2:B130" si="1">SUMPRODUCT(
  (--({
    $K$2:$K$119;
    $N$2:$N$119;
    $Q$2:$Q$119;
    $T$2:$T$119;
    $W$2:$W$119;
    $Z$2:$Z$113;
    $AC$2:$AC$113;
    $AF$2:$AF$113;
    $AI$2:$AI$125;
    $AL$2:$AL$125;
    $AO$2:$AO$125;
    $AR$2:$AR$125
  } = A2)),
  {
    $L$2:$L$119;
    $O$2:$O$119;
    $R$2:$R$119;
    $U$2:$U$119;
    $X$2:$X$119;
    $AA$2:$AA$113;
    $AD$2:$AD$113;
    $AG$2:$AG$113;
    $AJ$2:$AJ$125;
    $AM$2:$AM$125;
    $AP$2:$AP$125;
    $AS$2:$AS$125
  }
)
</f>
        <v>1709706</v>
      </c>
      <c r="C2" s="13"/>
      <c r="D2" s="13" t="s">
        <v>49</v>
      </c>
      <c r="E2" s="84">
        <v>602210.0</v>
      </c>
      <c r="F2" s="13"/>
      <c r="G2" s="13"/>
      <c r="H2" s="13"/>
      <c r="I2" s="13"/>
      <c r="J2" s="13"/>
      <c r="K2" s="54" t="s">
        <v>332</v>
      </c>
      <c r="L2" s="54">
        <v>115179.0</v>
      </c>
      <c r="M2" s="13"/>
      <c r="N2" s="96" t="s">
        <v>332</v>
      </c>
      <c r="O2" s="97">
        <v>118644.0</v>
      </c>
      <c r="P2" s="13"/>
      <c r="Q2" s="54" t="s">
        <v>332</v>
      </c>
      <c r="R2" s="54">
        <v>134837.0</v>
      </c>
      <c r="S2" s="13"/>
      <c r="T2" s="54" t="s">
        <v>332</v>
      </c>
      <c r="U2" s="54">
        <v>148074.0</v>
      </c>
      <c r="V2" s="13"/>
      <c r="W2" s="54" t="s">
        <v>332</v>
      </c>
      <c r="X2" s="54">
        <v>165385.0</v>
      </c>
      <c r="Y2" s="13"/>
      <c r="Z2" s="54" t="s">
        <v>332</v>
      </c>
      <c r="AA2" s="54">
        <v>142359.0</v>
      </c>
      <c r="AB2" s="13"/>
      <c r="AC2" s="54" t="s">
        <v>332</v>
      </c>
      <c r="AD2" s="54">
        <v>144034.0</v>
      </c>
      <c r="AE2" s="13"/>
      <c r="AF2" s="54" t="s">
        <v>332</v>
      </c>
      <c r="AG2" s="54">
        <v>160340.0</v>
      </c>
      <c r="AH2" s="13"/>
      <c r="AI2" s="54" t="s">
        <v>332</v>
      </c>
      <c r="AJ2" s="54">
        <v>152959.0</v>
      </c>
      <c r="AK2" s="13"/>
      <c r="AL2" s="54" t="s">
        <v>332</v>
      </c>
      <c r="AM2" s="54">
        <v>152753.0</v>
      </c>
      <c r="AN2" s="13"/>
      <c r="AO2" s="54" t="s">
        <v>332</v>
      </c>
      <c r="AP2" s="54">
        <v>136180.0</v>
      </c>
      <c r="AQ2" s="13"/>
      <c r="AR2" s="54" t="s">
        <v>332</v>
      </c>
      <c r="AS2" s="54">
        <v>138962.0</v>
      </c>
      <c r="AT2" s="13"/>
    </row>
    <row r="3">
      <c r="A3" s="54" t="s">
        <v>333</v>
      </c>
      <c r="B3" s="84">
        <f t="shared" si="1"/>
        <v>502057</v>
      </c>
      <c r="C3" s="13"/>
      <c r="D3" s="13" t="s">
        <v>61</v>
      </c>
      <c r="E3" s="84">
        <v>502057.0</v>
      </c>
      <c r="F3" s="13"/>
      <c r="G3" s="13"/>
      <c r="H3" s="13"/>
      <c r="I3" s="13"/>
      <c r="J3" s="13"/>
      <c r="K3" s="54" t="s">
        <v>333</v>
      </c>
      <c r="L3" s="54">
        <v>33997.0</v>
      </c>
      <c r="M3" s="13"/>
      <c r="N3" s="96" t="s">
        <v>333</v>
      </c>
      <c r="O3" s="97">
        <v>38088.0</v>
      </c>
      <c r="P3" s="13"/>
      <c r="Q3" s="54" t="s">
        <v>333</v>
      </c>
      <c r="R3" s="54">
        <v>44460.0</v>
      </c>
      <c r="S3" s="13"/>
      <c r="T3" s="54" t="s">
        <v>333</v>
      </c>
      <c r="U3" s="54">
        <v>44478.0</v>
      </c>
      <c r="V3" s="13"/>
      <c r="W3" s="54" t="s">
        <v>333</v>
      </c>
      <c r="X3" s="54">
        <v>46537.0</v>
      </c>
      <c r="Y3" s="13"/>
      <c r="Z3" s="54" t="s">
        <v>333</v>
      </c>
      <c r="AA3" s="54">
        <v>37896.0</v>
      </c>
      <c r="AB3" s="13"/>
      <c r="AC3" s="54" t="s">
        <v>333</v>
      </c>
      <c r="AD3" s="54">
        <v>38174.0</v>
      </c>
      <c r="AE3" s="13"/>
      <c r="AF3" s="54" t="s">
        <v>333</v>
      </c>
      <c r="AG3" s="54">
        <v>37383.0</v>
      </c>
      <c r="AH3" s="13"/>
      <c r="AI3" s="54" t="s">
        <v>333</v>
      </c>
      <c r="AJ3" s="54">
        <v>49702.0</v>
      </c>
      <c r="AK3" s="13"/>
      <c r="AL3" s="54" t="s">
        <v>333</v>
      </c>
      <c r="AM3" s="54">
        <v>51383.0</v>
      </c>
      <c r="AN3" s="13"/>
      <c r="AO3" s="54" t="s">
        <v>333</v>
      </c>
      <c r="AP3" s="54">
        <v>41009.0</v>
      </c>
      <c r="AQ3" s="13"/>
      <c r="AR3" s="54" t="s">
        <v>333</v>
      </c>
      <c r="AS3" s="54">
        <v>38950.0</v>
      </c>
      <c r="AT3" s="13"/>
    </row>
    <row r="4">
      <c r="A4" s="54" t="s">
        <v>334</v>
      </c>
      <c r="B4" s="84">
        <f t="shared" si="1"/>
        <v>320761</v>
      </c>
      <c r="C4" s="13"/>
      <c r="D4" s="13" t="s">
        <v>43</v>
      </c>
      <c r="E4" s="84">
        <v>104217.0</v>
      </c>
      <c r="F4" s="13"/>
      <c r="G4" s="13"/>
      <c r="H4" s="13"/>
      <c r="I4" s="13"/>
      <c r="J4" s="13"/>
      <c r="K4" s="54" t="s">
        <v>334</v>
      </c>
      <c r="L4" s="54">
        <v>22664.0</v>
      </c>
      <c r="M4" s="13"/>
      <c r="N4" s="96" t="s">
        <v>334</v>
      </c>
      <c r="O4" s="97">
        <v>24032.0</v>
      </c>
      <c r="P4" s="13"/>
      <c r="Q4" s="54" t="s">
        <v>334</v>
      </c>
      <c r="R4" s="54">
        <v>25914.0</v>
      </c>
      <c r="S4" s="13"/>
      <c r="T4" s="54" t="s">
        <v>334</v>
      </c>
      <c r="U4" s="54">
        <v>28352.0</v>
      </c>
      <c r="V4" s="13"/>
      <c r="W4" s="54" t="s">
        <v>334</v>
      </c>
      <c r="X4" s="54">
        <v>29338.0</v>
      </c>
      <c r="Y4" s="13"/>
      <c r="Z4" s="54" t="s">
        <v>334</v>
      </c>
      <c r="AA4" s="54">
        <v>25866.0</v>
      </c>
      <c r="AB4" s="13"/>
      <c r="AC4" s="54" t="s">
        <v>334</v>
      </c>
      <c r="AD4" s="54">
        <v>26117.0</v>
      </c>
      <c r="AE4" s="13"/>
      <c r="AF4" s="54" t="s">
        <v>334</v>
      </c>
      <c r="AG4" s="54">
        <v>26638.0</v>
      </c>
      <c r="AH4" s="13"/>
      <c r="AI4" s="54" t="s">
        <v>334</v>
      </c>
      <c r="AJ4" s="54">
        <v>29711.0</v>
      </c>
      <c r="AK4" s="13"/>
      <c r="AL4" s="54" t="s">
        <v>334</v>
      </c>
      <c r="AM4" s="54">
        <v>30991.0</v>
      </c>
      <c r="AN4" s="13"/>
      <c r="AO4" s="54" t="s">
        <v>334</v>
      </c>
      <c r="AP4" s="54">
        <v>25675.0</v>
      </c>
      <c r="AQ4" s="13"/>
      <c r="AR4" s="54" t="s">
        <v>334</v>
      </c>
      <c r="AS4" s="54">
        <v>25463.0</v>
      </c>
      <c r="AT4" s="13"/>
    </row>
    <row r="5">
      <c r="A5" s="54" t="s">
        <v>335</v>
      </c>
      <c r="B5" s="84">
        <f t="shared" si="1"/>
        <v>469733</v>
      </c>
      <c r="C5" s="13"/>
      <c r="D5" s="13" t="s">
        <v>141</v>
      </c>
      <c r="E5" s="84">
        <v>320761.0</v>
      </c>
      <c r="F5" s="13"/>
      <c r="G5" s="13"/>
      <c r="H5" s="13"/>
      <c r="I5" s="13"/>
      <c r="J5" s="13"/>
      <c r="K5" s="54" t="s">
        <v>335</v>
      </c>
      <c r="L5" s="54">
        <v>35503.0</v>
      </c>
      <c r="M5" s="13"/>
      <c r="N5" s="96" t="s">
        <v>335</v>
      </c>
      <c r="O5" s="97">
        <v>36868.0</v>
      </c>
      <c r="P5" s="13"/>
      <c r="Q5" s="54" t="s">
        <v>335</v>
      </c>
      <c r="R5" s="54">
        <v>39968.0</v>
      </c>
      <c r="S5" s="13"/>
      <c r="T5" s="54" t="s">
        <v>335</v>
      </c>
      <c r="U5" s="54">
        <v>41850.0</v>
      </c>
      <c r="V5" s="13"/>
      <c r="W5" s="54" t="s">
        <v>335</v>
      </c>
      <c r="X5" s="54">
        <v>44262.0</v>
      </c>
      <c r="Y5" s="13"/>
      <c r="Z5" s="54" t="s">
        <v>335</v>
      </c>
      <c r="AA5" s="54">
        <v>35608.0</v>
      </c>
      <c r="AB5" s="13"/>
      <c r="AC5" s="54" t="s">
        <v>335</v>
      </c>
      <c r="AD5" s="54">
        <v>34109.0</v>
      </c>
      <c r="AE5" s="13"/>
      <c r="AF5" s="54" t="s">
        <v>335</v>
      </c>
      <c r="AG5" s="54">
        <v>37826.0</v>
      </c>
      <c r="AH5" s="13"/>
      <c r="AI5" s="54" t="s">
        <v>335</v>
      </c>
      <c r="AJ5" s="54">
        <v>42304.0</v>
      </c>
      <c r="AK5" s="13"/>
      <c r="AL5" s="54" t="s">
        <v>335</v>
      </c>
      <c r="AM5" s="54">
        <v>45866.0</v>
      </c>
      <c r="AN5" s="13"/>
      <c r="AO5" s="54" t="s">
        <v>335</v>
      </c>
      <c r="AP5" s="54">
        <v>37639.0</v>
      </c>
      <c r="AQ5" s="13"/>
      <c r="AR5" s="54" t="s">
        <v>335</v>
      </c>
      <c r="AS5" s="54">
        <v>37930.0</v>
      </c>
      <c r="AT5" s="13"/>
    </row>
    <row r="6">
      <c r="A6" s="54" t="s">
        <v>336</v>
      </c>
      <c r="B6" s="84">
        <f t="shared" si="1"/>
        <v>557665</v>
      </c>
      <c r="C6" s="13"/>
      <c r="D6" s="13" t="s">
        <v>23</v>
      </c>
      <c r="E6" s="84">
        <v>118497.0</v>
      </c>
      <c r="F6" s="13"/>
      <c r="G6" s="13"/>
      <c r="H6" s="13"/>
      <c r="I6" s="13"/>
      <c r="J6" s="13"/>
      <c r="K6" s="54" t="s">
        <v>336</v>
      </c>
      <c r="L6" s="54">
        <v>41262.0</v>
      </c>
      <c r="M6" s="13"/>
      <c r="N6" s="96" t="s">
        <v>336</v>
      </c>
      <c r="O6" s="97">
        <v>41272.0</v>
      </c>
      <c r="P6" s="13"/>
      <c r="Q6" s="54" t="s">
        <v>336</v>
      </c>
      <c r="R6" s="54">
        <v>46327.0</v>
      </c>
      <c r="S6" s="13"/>
      <c r="T6" s="54" t="s">
        <v>336</v>
      </c>
      <c r="U6" s="54">
        <v>49934.0</v>
      </c>
      <c r="V6" s="13"/>
      <c r="W6" s="54" t="s">
        <v>336</v>
      </c>
      <c r="X6" s="54">
        <v>50684.0</v>
      </c>
      <c r="Y6" s="13"/>
      <c r="Z6" s="54" t="s">
        <v>336</v>
      </c>
      <c r="AA6" s="54">
        <v>44430.0</v>
      </c>
      <c r="AB6" s="13"/>
      <c r="AC6" s="54" t="s">
        <v>336</v>
      </c>
      <c r="AD6" s="54">
        <v>44990.0</v>
      </c>
      <c r="AE6" s="13"/>
      <c r="AF6" s="54" t="s">
        <v>336</v>
      </c>
      <c r="AG6" s="54">
        <v>46821.0</v>
      </c>
      <c r="AH6" s="13"/>
      <c r="AI6" s="54" t="s">
        <v>336</v>
      </c>
      <c r="AJ6" s="54">
        <v>49562.0</v>
      </c>
      <c r="AK6" s="13"/>
      <c r="AL6" s="54" t="s">
        <v>336</v>
      </c>
      <c r="AM6" s="54">
        <v>52395.0</v>
      </c>
      <c r="AN6" s="13"/>
      <c r="AO6" s="54" t="s">
        <v>336</v>
      </c>
      <c r="AP6" s="54">
        <v>45287.0</v>
      </c>
      <c r="AQ6" s="13"/>
      <c r="AR6" s="54" t="s">
        <v>336</v>
      </c>
      <c r="AS6" s="54">
        <v>44701.0</v>
      </c>
      <c r="AT6" s="13"/>
    </row>
    <row r="7">
      <c r="A7" s="54" t="s">
        <v>337</v>
      </c>
      <c r="B7" s="84">
        <f t="shared" si="1"/>
        <v>383654</v>
      </c>
      <c r="C7" s="13"/>
      <c r="D7" s="13" t="s">
        <v>199</v>
      </c>
      <c r="E7" s="84">
        <v>243502.0</v>
      </c>
      <c r="F7" s="13"/>
      <c r="G7" s="13"/>
      <c r="H7" s="13"/>
      <c r="I7" s="13"/>
      <c r="J7" s="13"/>
      <c r="K7" s="54" t="s">
        <v>337</v>
      </c>
      <c r="L7" s="54">
        <v>26985.0</v>
      </c>
      <c r="M7" s="13"/>
      <c r="N7" s="96" t="s">
        <v>337</v>
      </c>
      <c r="O7" s="97">
        <v>29704.0</v>
      </c>
      <c r="P7" s="13"/>
      <c r="Q7" s="54" t="s">
        <v>337</v>
      </c>
      <c r="R7" s="54">
        <v>30850.0</v>
      </c>
      <c r="S7" s="13"/>
      <c r="T7" s="54" t="s">
        <v>337</v>
      </c>
      <c r="U7" s="54">
        <v>35548.0</v>
      </c>
      <c r="V7" s="13"/>
      <c r="W7" s="54" t="s">
        <v>337</v>
      </c>
      <c r="X7" s="54">
        <v>36453.0</v>
      </c>
      <c r="Y7" s="13"/>
      <c r="Z7" s="54" t="s">
        <v>337</v>
      </c>
      <c r="AA7" s="54">
        <v>30185.0</v>
      </c>
      <c r="AB7" s="13"/>
      <c r="AC7" s="54" t="s">
        <v>337</v>
      </c>
      <c r="AD7" s="54">
        <v>30236.0</v>
      </c>
      <c r="AE7" s="13"/>
      <c r="AF7" s="54" t="s">
        <v>337</v>
      </c>
      <c r="AG7" s="54">
        <v>30181.0</v>
      </c>
      <c r="AH7" s="13"/>
      <c r="AI7" s="54" t="s">
        <v>337</v>
      </c>
      <c r="AJ7" s="54">
        <v>33166.0</v>
      </c>
      <c r="AK7" s="13"/>
      <c r="AL7" s="54" t="s">
        <v>337</v>
      </c>
      <c r="AM7" s="54">
        <v>38705.0</v>
      </c>
      <c r="AN7" s="13"/>
      <c r="AO7" s="54" t="s">
        <v>337</v>
      </c>
      <c r="AP7" s="54">
        <v>31808.0</v>
      </c>
      <c r="AQ7" s="13"/>
      <c r="AR7" s="54" t="s">
        <v>337</v>
      </c>
      <c r="AS7" s="54">
        <v>29833.0</v>
      </c>
      <c r="AT7" s="13"/>
    </row>
    <row r="8">
      <c r="A8" s="54" t="s">
        <v>338</v>
      </c>
      <c r="B8" s="84">
        <f t="shared" si="1"/>
        <v>326195</v>
      </c>
      <c r="C8" s="13"/>
      <c r="D8" s="13" t="s">
        <v>45</v>
      </c>
      <c r="E8" s="84">
        <v>593791.0</v>
      </c>
      <c r="F8" s="13"/>
      <c r="G8" s="13"/>
      <c r="H8" s="13"/>
      <c r="I8" s="13"/>
      <c r="J8" s="13"/>
      <c r="K8" s="54" t="s">
        <v>338</v>
      </c>
      <c r="L8" s="54">
        <v>24111.0</v>
      </c>
      <c r="M8" s="13"/>
      <c r="N8" s="96" t="s">
        <v>338</v>
      </c>
      <c r="O8" s="97">
        <v>24628.0</v>
      </c>
      <c r="P8" s="13"/>
      <c r="Q8" s="54" t="s">
        <v>338</v>
      </c>
      <c r="R8" s="54">
        <v>27191.0</v>
      </c>
      <c r="S8" s="13"/>
      <c r="T8" s="54" t="s">
        <v>338</v>
      </c>
      <c r="U8" s="54">
        <v>29762.0</v>
      </c>
      <c r="V8" s="13"/>
      <c r="W8" s="54" t="s">
        <v>338</v>
      </c>
      <c r="X8" s="54">
        <v>28531.0</v>
      </c>
      <c r="Y8" s="13"/>
      <c r="Z8" s="54" t="s">
        <v>338</v>
      </c>
      <c r="AA8" s="54">
        <v>26156.0</v>
      </c>
      <c r="AB8" s="13"/>
      <c r="AC8" s="54" t="s">
        <v>338</v>
      </c>
      <c r="AD8" s="54">
        <v>25564.0</v>
      </c>
      <c r="AE8" s="13"/>
      <c r="AF8" s="54" t="s">
        <v>338</v>
      </c>
      <c r="AG8" s="54">
        <v>27654.0</v>
      </c>
      <c r="AH8" s="13"/>
      <c r="AI8" s="54" t="s">
        <v>338</v>
      </c>
      <c r="AJ8" s="54">
        <v>29166.0</v>
      </c>
      <c r="AK8" s="13"/>
      <c r="AL8" s="54" t="s">
        <v>338</v>
      </c>
      <c r="AM8" s="54">
        <v>31539.0</v>
      </c>
      <c r="AN8" s="13"/>
      <c r="AO8" s="54" t="s">
        <v>338</v>
      </c>
      <c r="AP8" s="54">
        <v>26687.0</v>
      </c>
      <c r="AQ8" s="13"/>
      <c r="AR8" s="54" t="s">
        <v>338</v>
      </c>
      <c r="AS8" s="54">
        <v>25206.0</v>
      </c>
      <c r="AT8" s="13"/>
    </row>
    <row r="9">
      <c r="A9" s="54" t="s">
        <v>339</v>
      </c>
      <c r="B9" s="84">
        <f t="shared" si="1"/>
        <v>677683</v>
      </c>
      <c r="C9" s="13"/>
      <c r="D9" s="13" t="s">
        <v>109</v>
      </c>
      <c r="E9" s="84">
        <v>417782.0</v>
      </c>
      <c r="F9" s="13"/>
      <c r="G9" s="13"/>
      <c r="H9" s="13"/>
      <c r="I9" s="13"/>
      <c r="J9" s="13"/>
      <c r="K9" s="54" t="s">
        <v>339</v>
      </c>
      <c r="L9" s="54">
        <v>50770.0</v>
      </c>
      <c r="M9" s="13"/>
      <c r="N9" s="96" t="s">
        <v>339</v>
      </c>
      <c r="O9" s="97">
        <v>51692.0</v>
      </c>
      <c r="P9" s="13"/>
      <c r="Q9" s="54" t="s">
        <v>339</v>
      </c>
      <c r="R9" s="54">
        <v>57008.0</v>
      </c>
      <c r="S9" s="13"/>
      <c r="T9" s="54" t="s">
        <v>339</v>
      </c>
      <c r="U9" s="54">
        <v>59262.0</v>
      </c>
      <c r="V9" s="13"/>
      <c r="W9" s="54" t="s">
        <v>339</v>
      </c>
      <c r="X9" s="54">
        <v>62248.0</v>
      </c>
      <c r="Y9" s="13"/>
      <c r="Z9" s="54" t="s">
        <v>339</v>
      </c>
      <c r="AA9" s="54">
        <v>53942.0</v>
      </c>
      <c r="AB9" s="13"/>
      <c r="AC9" s="54" t="s">
        <v>339</v>
      </c>
      <c r="AD9" s="54">
        <v>52229.0</v>
      </c>
      <c r="AE9" s="13"/>
      <c r="AF9" s="54" t="s">
        <v>339</v>
      </c>
      <c r="AG9" s="54">
        <v>58766.0</v>
      </c>
      <c r="AH9" s="13"/>
      <c r="AI9" s="54" t="s">
        <v>339</v>
      </c>
      <c r="AJ9" s="54">
        <v>60135.0</v>
      </c>
      <c r="AK9" s="13"/>
      <c r="AL9" s="54" t="s">
        <v>339</v>
      </c>
      <c r="AM9" s="54">
        <v>64717.0</v>
      </c>
      <c r="AN9" s="13"/>
      <c r="AO9" s="54" t="s">
        <v>339</v>
      </c>
      <c r="AP9" s="54">
        <v>53261.0</v>
      </c>
      <c r="AQ9" s="13"/>
      <c r="AR9" s="54" t="s">
        <v>339</v>
      </c>
      <c r="AS9" s="54">
        <v>53653.0</v>
      </c>
      <c r="AT9" s="13"/>
    </row>
    <row r="10">
      <c r="A10" s="54" t="s">
        <v>340</v>
      </c>
      <c r="B10" s="84">
        <f t="shared" si="1"/>
        <v>496577</v>
      </c>
      <c r="C10" s="13"/>
      <c r="D10" s="13" t="s">
        <v>163</v>
      </c>
      <c r="E10" s="84">
        <v>299633.0</v>
      </c>
      <c r="F10" s="13"/>
      <c r="G10" s="13"/>
      <c r="H10" s="13"/>
      <c r="I10" s="13"/>
      <c r="J10" s="13"/>
      <c r="K10" s="54" t="s">
        <v>340</v>
      </c>
      <c r="L10" s="54">
        <v>37840.0</v>
      </c>
      <c r="M10" s="13"/>
      <c r="N10" s="96" t="s">
        <v>340</v>
      </c>
      <c r="O10" s="97">
        <v>37848.0</v>
      </c>
      <c r="P10" s="13"/>
      <c r="Q10" s="54" t="s">
        <v>340</v>
      </c>
      <c r="R10" s="54">
        <v>40802.0</v>
      </c>
      <c r="S10" s="13"/>
      <c r="T10" s="54" t="s">
        <v>340</v>
      </c>
      <c r="U10" s="54">
        <v>44268.0</v>
      </c>
      <c r="V10" s="13"/>
      <c r="W10" s="54" t="s">
        <v>340</v>
      </c>
      <c r="X10" s="54">
        <v>44253.0</v>
      </c>
      <c r="Y10" s="13"/>
      <c r="Z10" s="54" t="s">
        <v>340</v>
      </c>
      <c r="AA10" s="54">
        <v>40217.0</v>
      </c>
      <c r="AB10" s="13"/>
      <c r="AC10" s="54" t="s">
        <v>340</v>
      </c>
      <c r="AD10" s="54">
        <v>39059.0</v>
      </c>
      <c r="AE10" s="13"/>
      <c r="AF10" s="54" t="s">
        <v>340</v>
      </c>
      <c r="AG10" s="54">
        <v>41231.0</v>
      </c>
      <c r="AH10" s="13"/>
      <c r="AI10" s="54" t="s">
        <v>340</v>
      </c>
      <c r="AJ10" s="54">
        <v>43490.0</v>
      </c>
      <c r="AK10" s="13"/>
      <c r="AL10" s="54" t="s">
        <v>340</v>
      </c>
      <c r="AM10" s="54">
        <v>46778.0</v>
      </c>
      <c r="AN10" s="13"/>
      <c r="AO10" s="54" t="s">
        <v>340</v>
      </c>
      <c r="AP10" s="54">
        <v>40436.0</v>
      </c>
      <c r="AQ10" s="13"/>
      <c r="AR10" s="54" t="s">
        <v>340</v>
      </c>
      <c r="AS10" s="54">
        <v>40355.0</v>
      </c>
      <c r="AT10" s="13"/>
    </row>
    <row r="11">
      <c r="A11" s="54" t="s">
        <v>341</v>
      </c>
      <c r="B11" s="84">
        <f t="shared" si="1"/>
        <v>508800</v>
      </c>
      <c r="C11" s="13"/>
      <c r="D11" s="13" t="s">
        <v>65</v>
      </c>
      <c r="E11" s="84">
        <v>508580.0</v>
      </c>
      <c r="F11" s="13"/>
      <c r="G11" s="13"/>
      <c r="H11" s="13"/>
      <c r="I11" s="13"/>
      <c r="J11" s="13"/>
      <c r="K11" s="54" t="s">
        <v>341</v>
      </c>
      <c r="L11" s="54">
        <v>39540.0</v>
      </c>
      <c r="M11" s="13"/>
      <c r="N11" s="96" t="s">
        <v>341</v>
      </c>
      <c r="O11" s="97">
        <v>40384.0</v>
      </c>
      <c r="P11" s="13"/>
      <c r="Q11" s="54" t="s">
        <v>341</v>
      </c>
      <c r="R11" s="54">
        <v>42735.0</v>
      </c>
      <c r="S11" s="13"/>
      <c r="T11" s="54" t="s">
        <v>341</v>
      </c>
      <c r="U11" s="54">
        <v>45276.0</v>
      </c>
      <c r="V11" s="13"/>
      <c r="W11" s="54" t="s">
        <v>341</v>
      </c>
      <c r="X11" s="54">
        <v>47397.0</v>
      </c>
      <c r="Y11" s="13"/>
      <c r="Z11" s="54" t="s">
        <v>341</v>
      </c>
      <c r="AA11" s="54">
        <v>40150.0</v>
      </c>
      <c r="AB11" s="13"/>
      <c r="AC11" s="54" t="s">
        <v>341</v>
      </c>
      <c r="AD11" s="54">
        <v>39795.0</v>
      </c>
      <c r="AE11" s="13"/>
      <c r="AF11" s="54" t="s">
        <v>341</v>
      </c>
      <c r="AG11" s="54">
        <v>42180.0</v>
      </c>
      <c r="AH11" s="13"/>
      <c r="AI11" s="54" t="s">
        <v>341</v>
      </c>
      <c r="AJ11" s="54">
        <v>44106.0</v>
      </c>
      <c r="AK11" s="13"/>
      <c r="AL11" s="54" t="s">
        <v>341</v>
      </c>
      <c r="AM11" s="54">
        <v>46186.0</v>
      </c>
      <c r="AN11" s="13"/>
      <c r="AO11" s="54" t="s">
        <v>341</v>
      </c>
      <c r="AP11" s="54">
        <v>40088.0</v>
      </c>
      <c r="AQ11" s="13"/>
      <c r="AR11" s="54" t="s">
        <v>341</v>
      </c>
      <c r="AS11" s="54">
        <v>40963.0</v>
      </c>
      <c r="AT11" s="13"/>
    </row>
    <row r="12">
      <c r="A12" s="54" t="s">
        <v>342</v>
      </c>
      <c r="B12" s="84">
        <f t="shared" si="1"/>
        <v>285508</v>
      </c>
      <c r="C12" s="13"/>
      <c r="D12" s="13" t="s">
        <v>85</v>
      </c>
      <c r="E12" s="84">
        <v>661730.0</v>
      </c>
      <c r="F12" s="13"/>
      <c r="G12" s="13"/>
      <c r="H12" s="13"/>
      <c r="I12" s="13"/>
      <c r="J12" s="13"/>
      <c r="K12" s="54" t="s">
        <v>342</v>
      </c>
      <c r="L12" s="54">
        <v>22855.0</v>
      </c>
      <c r="M12" s="13"/>
      <c r="N12" s="96" t="s">
        <v>342</v>
      </c>
      <c r="O12" s="97">
        <v>23052.0</v>
      </c>
      <c r="P12" s="13"/>
      <c r="Q12" s="54" t="s">
        <v>342</v>
      </c>
      <c r="R12" s="54">
        <v>24364.0</v>
      </c>
      <c r="S12" s="13"/>
      <c r="T12" s="54" t="s">
        <v>342</v>
      </c>
      <c r="U12" s="54">
        <v>24864.0</v>
      </c>
      <c r="V12" s="13"/>
      <c r="W12" s="54" t="s">
        <v>342</v>
      </c>
      <c r="X12" s="54">
        <v>26765.0</v>
      </c>
      <c r="Y12" s="13"/>
      <c r="Z12" s="54" t="s">
        <v>342</v>
      </c>
      <c r="AA12" s="54">
        <v>21562.0</v>
      </c>
      <c r="AB12" s="13"/>
      <c r="AC12" s="54" t="s">
        <v>342</v>
      </c>
      <c r="AD12" s="54">
        <v>20533.0</v>
      </c>
      <c r="AE12" s="13"/>
      <c r="AF12" s="54" t="s">
        <v>342</v>
      </c>
      <c r="AG12" s="54">
        <v>23450.0</v>
      </c>
      <c r="AH12" s="13"/>
      <c r="AI12" s="54" t="s">
        <v>342</v>
      </c>
      <c r="AJ12" s="54">
        <v>25127.0</v>
      </c>
      <c r="AK12" s="13"/>
      <c r="AL12" s="54" t="s">
        <v>342</v>
      </c>
      <c r="AM12" s="54">
        <v>28273.0</v>
      </c>
      <c r="AN12" s="13"/>
      <c r="AO12" s="54" t="s">
        <v>342</v>
      </c>
      <c r="AP12" s="54">
        <v>22047.0</v>
      </c>
      <c r="AQ12" s="13"/>
      <c r="AR12" s="54" t="s">
        <v>342</v>
      </c>
      <c r="AS12" s="54">
        <v>22616.0</v>
      </c>
      <c r="AT12" s="13"/>
    </row>
    <row r="13">
      <c r="A13" s="54" t="s">
        <v>343</v>
      </c>
      <c r="B13" s="84">
        <f t="shared" si="1"/>
        <v>893584</v>
      </c>
      <c r="C13" s="13"/>
      <c r="D13" s="13" t="s">
        <v>69</v>
      </c>
      <c r="E13" s="84">
        <v>370024.0</v>
      </c>
      <c r="F13" s="13"/>
      <c r="G13" s="13"/>
      <c r="H13" s="13"/>
      <c r="I13" s="13"/>
      <c r="J13" s="13"/>
      <c r="K13" s="54" t="s">
        <v>343</v>
      </c>
      <c r="L13" s="54">
        <v>60996.0</v>
      </c>
      <c r="M13" s="13"/>
      <c r="N13" s="96" t="s">
        <v>343</v>
      </c>
      <c r="O13" s="97">
        <v>61768.0</v>
      </c>
      <c r="P13" s="13"/>
      <c r="Q13" s="54" t="s">
        <v>343</v>
      </c>
      <c r="R13" s="54">
        <v>64688.0</v>
      </c>
      <c r="S13" s="13"/>
      <c r="T13" s="54" t="s">
        <v>343</v>
      </c>
      <c r="U13" s="54">
        <v>67562.0</v>
      </c>
      <c r="V13" s="13"/>
      <c r="W13" s="54" t="s">
        <v>343</v>
      </c>
      <c r="X13" s="54">
        <v>71567.0</v>
      </c>
      <c r="Y13" s="13"/>
      <c r="Z13" s="54" t="s">
        <v>343</v>
      </c>
      <c r="AA13" s="54">
        <v>75459.0</v>
      </c>
      <c r="AB13" s="13"/>
      <c r="AC13" s="54" t="s">
        <v>343</v>
      </c>
      <c r="AD13" s="54">
        <v>76142.0</v>
      </c>
      <c r="AE13" s="13"/>
      <c r="AF13" s="54" t="s">
        <v>343</v>
      </c>
      <c r="AG13" s="54">
        <v>84004.0</v>
      </c>
      <c r="AH13" s="13"/>
      <c r="AI13" s="54" t="s">
        <v>343</v>
      </c>
      <c r="AJ13" s="54">
        <v>84091.0</v>
      </c>
      <c r="AK13" s="13"/>
      <c r="AL13" s="54" t="s">
        <v>343</v>
      </c>
      <c r="AM13" s="54">
        <v>91351.0</v>
      </c>
      <c r="AN13" s="13"/>
      <c r="AO13" s="54" t="s">
        <v>343</v>
      </c>
      <c r="AP13" s="54">
        <v>77777.0</v>
      </c>
      <c r="AQ13" s="13"/>
      <c r="AR13" s="54" t="s">
        <v>343</v>
      </c>
      <c r="AS13" s="54">
        <v>78179.0</v>
      </c>
      <c r="AT13" s="13"/>
    </row>
    <row r="14">
      <c r="A14" s="54" t="s">
        <v>344</v>
      </c>
      <c r="B14" s="84">
        <f t="shared" si="1"/>
        <v>879577</v>
      </c>
      <c r="C14" s="13"/>
      <c r="D14" s="13" t="s">
        <v>139</v>
      </c>
      <c r="E14" s="84">
        <v>474364.0</v>
      </c>
      <c r="F14" s="13"/>
      <c r="G14" s="13"/>
      <c r="H14" s="13"/>
      <c r="I14" s="13"/>
      <c r="J14" s="13"/>
      <c r="K14" s="54" t="s">
        <v>344</v>
      </c>
      <c r="L14" s="54">
        <v>65419.0</v>
      </c>
      <c r="M14" s="13"/>
      <c r="N14" s="96" t="s">
        <v>344</v>
      </c>
      <c r="O14" s="97">
        <v>66496.0</v>
      </c>
      <c r="P14" s="13"/>
      <c r="Q14" s="54" t="s">
        <v>344</v>
      </c>
      <c r="R14" s="54">
        <v>73431.0</v>
      </c>
      <c r="S14" s="13"/>
      <c r="T14" s="54" t="s">
        <v>344</v>
      </c>
      <c r="U14" s="54">
        <v>77788.0</v>
      </c>
      <c r="V14" s="13"/>
      <c r="W14" s="54" t="s">
        <v>344</v>
      </c>
      <c r="X14" s="54">
        <v>82471.0</v>
      </c>
      <c r="Y14" s="13"/>
      <c r="Z14" s="54" t="s">
        <v>344</v>
      </c>
      <c r="AA14" s="54">
        <v>67974.0</v>
      </c>
      <c r="AB14" s="13"/>
      <c r="AC14" s="54" t="s">
        <v>344</v>
      </c>
      <c r="AD14" s="54">
        <v>69376.0</v>
      </c>
      <c r="AE14" s="13"/>
      <c r="AF14" s="54" t="s">
        <v>344</v>
      </c>
      <c r="AG14" s="54">
        <v>73442.0</v>
      </c>
      <c r="AH14" s="13"/>
      <c r="AI14" s="54" t="s">
        <v>344</v>
      </c>
      <c r="AJ14" s="54">
        <v>76959.0</v>
      </c>
      <c r="AK14" s="13"/>
      <c r="AL14" s="54" t="s">
        <v>344</v>
      </c>
      <c r="AM14" s="54">
        <v>83070.0</v>
      </c>
      <c r="AN14" s="13"/>
      <c r="AO14" s="54" t="s">
        <v>344</v>
      </c>
      <c r="AP14" s="54">
        <v>70193.0</v>
      </c>
      <c r="AQ14" s="13"/>
      <c r="AR14" s="54" t="s">
        <v>344</v>
      </c>
      <c r="AS14" s="54">
        <v>72958.0</v>
      </c>
      <c r="AT14" s="13"/>
    </row>
    <row r="15">
      <c r="A15" s="54" t="s">
        <v>345</v>
      </c>
      <c r="B15" s="84">
        <f t="shared" si="1"/>
        <v>902388</v>
      </c>
      <c r="C15" s="13"/>
      <c r="D15" s="13" t="s">
        <v>127</v>
      </c>
      <c r="E15" s="84">
        <v>320971.0</v>
      </c>
      <c r="F15" s="13"/>
      <c r="G15" s="13"/>
      <c r="H15" s="13"/>
      <c r="I15" s="13"/>
      <c r="J15" s="13"/>
      <c r="K15" s="54" t="s">
        <v>345</v>
      </c>
      <c r="L15" s="54">
        <v>68318.0</v>
      </c>
      <c r="M15" s="13"/>
      <c r="N15" s="96" t="s">
        <v>345</v>
      </c>
      <c r="O15" s="97">
        <v>70500.0</v>
      </c>
      <c r="P15" s="13"/>
      <c r="Q15" s="54" t="s">
        <v>345</v>
      </c>
      <c r="R15" s="54">
        <v>75667.0</v>
      </c>
      <c r="S15" s="13"/>
      <c r="T15" s="54" t="s">
        <v>345</v>
      </c>
      <c r="U15" s="54">
        <v>79654.0</v>
      </c>
      <c r="V15" s="13"/>
      <c r="W15" s="54" t="s">
        <v>345</v>
      </c>
      <c r="X15" s="54">
        <v>83379.0</v>
      </c>
      <c r="Y15" s="13"/>
      <c r="Z15" s="54" t="s">
        <v>345</v>
      </c>
      <c r="AA15" s="54">
        <v>69720.0</v>
      </c>
      <c r="AB15" s="13"/>
      <c r="AC15" s="54" t="s">
        <v>345</v>
      </c>
      <c r="AD15" s="54">
        <v>69283.0</v>
      </c>
      <c r="AE15" s="13"/>
      <c r="AF15" s="54" t="s">
        <v>345</v>
      </c>
      <c r="AG15" s="54">
        <v>74620.0</v>
      </c>
      <c r="AH15" s="13"/>
      <c r="AI15" s="54" t="s">
        <v>345</v>
      </c>
      <c r="AJ15" s="54">
        <v>81081.0</v>
      </c>
      <c r="AK15" s="13"/>
      <c r="AL15" s="54" t="s">
        <v>345</v>
      </c>
      <c r="AM15" s="54">
        <v>85066.0</v>
      </c>
      <c r="AN15" s="13"/>
      <c r="AO15" s="54" t="s">
        <v>345</v>
      </c>
      <c r="AP15" s="54">
        <v>74593.0</v>
      </c>
      <c r="AQ15" s="13"/>
      <c r="AR15" s="54" t="s">
        <v>345</v>
      </c>
      <c r="AS15" s="54">
        <v>70507.0</v>
      </c>
      <c r="AT15" s="13"/>
    </row>
    <row r="16">
      <c r="A16" s="54" t="s">
        <v>346</v>
      </c>
      <c r="B16" s="84">
        <f t="shared" si="1"/>
        <v>478299</v>
      </c>
      <c r="C16" s="13"/>
      <c r="D16" s="13" t="s">
        <v>95</v>
      </c>
      <c r="E16" s="84">
        <v>444996.0</v>
      </c>
      <c r="F16" s="13"/>
      <c r="G16" s="13"/>
      <c r="H16" s="13"/>
      <c r="I16" s="13"/>
      <c r="J16" s="13"/>
      <c r="K16" s="54" t="s">
        <v>346</v>
      </c>
      <c r="L16" s="54">
        <v>29183.0</v>
      </c>
      <c r="M16" s="13"/>
      <c r="N16" s="96" t="s">
        <v>346</v>
      </c>
      <c r="O16" s="97">
        <v>35980.0</v>
      </c>
      <c r="P16" s="13"/>
      <c r="Q16" s="54" t="s">
        <v>346</v>
      </c>
      <c r="R16" s="54">
        <v>38464.0</v>
      </c>
      <c r="S16" s="13"/>
      <c r="T16" s="54" t="s">
        <v>346</v>
      </c>
      <c r="U16" s="54">
        <v>50192.0</v>
      </c>
      <c r="V16" s="13"/>
      <c r="W16" s="54" t="s">
        <v>346</v>
      </c>
      <c r="X16" s="54">
        <v>38818.0</v>
      </c>
      <c r="Y16" s="13"/>
      <c r="Z16" s="54" t="s">
        <v>346</v>
      </c>
      <c r="AA16" s="54">
        <v>32978.0</v>
      </c>
      <c r="AB16" s="13"/>
      <c r="AC16" s="54" t="s">
        <v>346</v>
      </c>
      <c r="AD16" s="54">
        <v>36477.0</v>
      </c>
      <c r="AE16" s="13"/>
      <c r="AF16" s="54" t="s">
        <v>346</v>
      </c>
      <c r="AG16" s="54">
        <v>39695.0</v>
      </c>
      <c r="AH16" s="13"/>
      <c r="AI16" s="54" t="s">
        <v>346</v>
      </c>
      <c r="AJ16" s="54">
        <v>49678.0</v>
      </c>
      <c r="AK16" s="13"/>
      <c r="AL16" s="54" t="s">
        <v>346</v>
      </c>
      <c r="AM16" s="54">
        <v>53864.0</v>
      </c>
      <c r="AN16" s="13"/>
      <c r="AO16" s="54" t="s">
        <v>346</v>
      </c>
      <c r="AP16" s="54">
        <v>41985.0</v>
      </c>
      <c r="AQ16" s="13"/>
      <c r="AR16" s="54" t="s">
        <v>346</v>
      </c>
      <c r="AS16" s="54">
        <v>30985.0</v>
      </c>
      <c r="AT16" s="13"/>
    </row>
    <row r="17">
      <c r="A17" s="54" t="s">
        <v>347</v>
      </c>
      <c r="B17" s="84">
        <f t="shared" si="1"/>
        <v>446411</v>
      </c>
      <c r="C17" s="13"/>
      <c r="D17" s="13" t="s">
        <v>189</v>
      </c>
      <c r="E17" s="84">
        <v>641281.0</v>
      </c>
      <c r="F17" s="13"/>
      <c r="G17" s="13"/>
      <c r="H17" s="13"/>
      <c r="I17" s="13"/>
      <c r="J17" s="13"/>
      <c r="K17" s="54" t="s">
        <v>347</v>
      </c>
      <c r="L17" s="54">
        <v>33996.0</v>
      </c>
      <c r="M17" s="13"/>
      <c r="N17" s="96" t="s">
        <v>347</v>
      </c>
      <c r="O17" s="97">
        <v>35712.0</v>
      </c>
      <c r="P17" s="13"/>
      <c r="Q17" s="54" t="s">
        <v>347</v>
      </c>
      <c r="R17" s="54">
        <v>37222.0</v>
      </c>
      <c r="S17" s="13"/>
      <c r="T17" s="54" t="s">
        <v>347</v>
      </c>
      <c r="U17" s="54">
        <v>40400.0</v>
      </c>
      <c r="V17" s="13"/>
      <c r="W17" s="54" t="s">
        <v>347</v>
      </c>
      <c r="X17" s="54">
        <v>39440.0</v>
      </c>
      <c r="Y17" s="13"/>
      <c r="Z17" s="54" t="s">
        <v>347</v>
      </c>
      <c r="AA17" s="54">
        <v>33511.0</v>
      </c>
      <c r="AB17" s="13"/>
      <c r="AC17" s="54" t="s">
        <v>347</v>
      </c>
      <c r="AD17" s="54">
        <v>34524.0</v>
      </c>
      <c r="AE17" s="13"/>
      <c r="AF17" s="54" t="s">
        <v>347</v>
      </c>
      <c r="AG17" s="54">
        <v>35771.0</v>
      </c>
      <c r="AH17" s="13"/>
      <c r="AI17" s="54" t="s">
        <v>347</v>
      </c>
      <c r="AJ17" s="54">
        <v>40772.0</v>
      </c>
      <c r="AK17" s="13"/>
      <c r="AL17" s="54" t="s">
        <v>347</v>
      </c>
      <c r="AM17" s="54">
        <v>43018.0</v>
      </c>
      <c r="AN17" s="13"/>
      <c r="AO17" s="54" t="s">
        <v>347</v>
      </c>
      <c r="AP17" s="54">
        <v>37729.0</v>
      </c>
      <c r="AQ17" s="13"/>
      <c r="AR17" s="54" t="s">
        <v>347</v>
      </c>
      <c r="AS17" s="54">
        <v>34316.0</v>
      </c>
      <c r="AT17" s="13"/>
    </row>
    <row r="18">
      <c r="A18" s="13" t="s">
        <v>348</v>
      </c>
      <c r="B18" s="84">
        <f t="shared" si="1"/>
        <v>654248</v>
      </c>
      <c r="C18" s="13"/>
      <c r="D18" s="13" t="s">
        <v>73</v>
      </c>
      <c r="E18" s="84">
        <v>642746.0</v>
      </c>
      <c r="F18" s="13"/>
      <c r="G18" s="13"/>
      <c r="H18" s="13"/>
      <c r="I18" s="13"/>
      <c r="J18" s="13"/>
      <c r="K18" s="54" t="s">
        <v>348</v>
      </c>
      <c r="L18" s="54">
        <v>47113.0</v>
      </c>
      <c r="M18" s="13"/>
      <c r="N18" s="96" t="s">
        <v>348</v>
      </c>
      <c r="O18" s="97">
        <v>50800.0</v>
      </c>
      <c r="P18" s="13"/>
      <c r="Q18" s="54" t="s">
        <v>348</v>
      </c>
      <c r="R18" s="54">
        <v>54863.0</v>
      </c>
      <c r="S18" s="13"/>
      <c r="T18" s="54" t="s">
        <v>348</v>
      </c>
      <c r="U18" s="54">
        <v>56668.0</v>
      </c>
      <c r="V18" s="13"/>
      <c r="W18" s="54" t="s">
        <v>348</v>
      </c>
      <c r="X18" s="54">
        <v>59589.0</v>
      </c>
      <c r="Y18" s="13"/>
      <c r="Z18" s="54" t="s">
        <v>348</v>
      </c>
      <c r="AA18" s="54">
        <v>49054.0</v>
      </c>
      <c r="AB18" s="13"/>
      <c r="AC18" s="54" t="s">
        <v>348</v>
      </c>
      <c r="AD18" s="54">
        <v>49708.0</v>
      </c>
      <c r="AE18" s="13"/>
      <c r="AF18" s="54" t="s">
        <v>348</v>
      </c>
      <c r="AG18" s="54">
        <v>52608.0</v>
      </c>
      <c r="AH18" s="13"/>
      <c r="AI18" s="54" t="s">
        <v>348</v>
      </c>
      <c r="AJ18" s="54">
        <v>63257.0</v>
      </c>
      <c r="AK18" s="13"/>
      <c r="AL18" s="54" t="s">
        <v>348</v>
      </c>
      <c r="AM18" s="54">
        <v>63870.0</v>
      </c>
      <c r="AN18" s="13"/>
      <c r="AO18" s="54" t="s">
        <v>348</v>
      </c>
      <c r="AP18" s="54">
        <v>54844.0</v>
      </c>
      <c r="AQ18" s="13"/>
      <c r="AR18" s="54" t="s">
        <v>348</v>
      </c>
      <c r="AS18" s="54">
        <v>51874.0</v>
      </c>
      <c r="AT18" s="13"/>
    </row>
    <row r="19">
      <c r="A19" s="13" t="s">
        <v>349</v>
      </c>
      <c r="B19" s="84">
        <f t="shared" si="1"/>
        <v>922434</v>
      </c>
      <c r="C19" s="13"/>
      <c r="D19" s="13" t="s">
        <v>75</v>
      </c>
      <c r="E19" s="84">
        <v>424558.0</v>
      </c>
      <c r="F19" s="13"/>
      <c r="G19" s="13"/>
      <c r="H19" s="13"/>
      <c r="I19" s="13"/>
      <c r="J19" s="13"/>
      <c r="K19" s="54" t="s">
        <v>349</v>
      </c>
      <c r="L19" s="54">
        <v>68360.0</v>
      </c>
      <c r="M19" s="13"/>
      <c r="N19" s="96" t="s">
        <v>349</v>
      </c>
      <c r="O19" s="97">
        <v>72824.0</v>
      </c>
      <c r="P19" s="13"/>
      <c r="Q19" s="54" t="s">
        <v>349</v>
      </c>
      <c r="R19" s="54">
        <v>77652.0</v>
      </c>
      <c r="S19" s="13"/>
      <c r="T19" s="54" t="s">
        <v>349</v>
      </c>
      <c r="U19" s="54">
        <v>79506.0</v>
      </c>
      <c r="V19" s="13"/>
      <c r="W19" s="54" t="s">
        <v>349</v>
      </c>
      <c r="X19" s="54">
        <v>80276.0</v>
      </c>
      <c r="Y19" s="13"/>
      <c r="Z19" s="54" t="s">
        <v>349</v>
      </c>
      <c r="AA19" s="54">
        <v>70451.0</v>
      </c>
      <c r="AB19" s="13"/>
      <c r="AC19" s="54" t="s">
        <v>349</v>
      </c>
      <c r="AD19" s="54">
        <v>82411.0</v>
      </c>
      <c r="AE19" s="13"/>
      <c r="AF19" s="54" t="s">
        <v>349</v>
      </c>
      <c r="AG19" s="54">
        <v>77271.0</v>
      </c>
      <c r="AH19" s="13"/>
      <c r="AI19" s="54" t="s">
        <v>349</v>
      </c>
      <c r="AJ19" s="54">
        <v>79890.0</v>
      </c>
      <c r="AK19" s="13"/>
      <c r="AL19" s="54" t="s">
        <v>349</v>
      </c>
      <c r="AM19" s="54">
        <v>81797.0</v>
      </c>
      <c r="AN19" s="13"/>
      <c r="AO19" s="54" t="s">
        <v>349</v>
      </c>
      <c r="AP19" s="54">
        <v>78253.0</v>
      </c>
      <c r="AQ19" s="13"/>
      <c r="AR19" s="54" t="s">
        <v>349</v>
      </c>
      <c r="AS19" s="54">
        <v>73743.0</v>
      </c>
      <c r="AT19" s="13"/>
    </row>
    <row r="20">
      <c r="A20" s="13" t="s">
        <v>350</v>
      </c>
      <c r="B20" s="84">
        <f t="shared" si="1"/>
        <v>1977412</v>
      </c>
      <c r="C20" s="13"/>
      <c r="D20" s="13" t="s">
        <v>179</v>
      </c>
      <c r="E20" s="84">
        <v>677683.0</v>
      </c>
      <c r="F20" s="13"/>
      <c r="G20" s="13"/>
      <c r="H20" s="13"/>
      <c r="I20" s="13"/>
      <c r="J20" s="13"/>
      <c r="K20" s="54" t="s">
        <v>350</v>
      </c>
      <c r="L20" s="54">
        <v>148845.0</v>
      </c>
      <c r="M20" s="13"/>
      <c r="N20" s="96" t="s">
        <v>350</v>
      </c>
      <c r="O20" s="97">
        <v>148364.0</v>
      </c>
      <c r="P20" s="13"/>
      <c r="Q20" s="54" t="s">
        <v>350</v>
      </c>
      <c r="R20" s="54">
        <v>164435.0</v>
      </c>
      <c r="S20" s="13"/>
      <c r="T20" s="54" t="s">
        <v>350</v>
      </c>
      <c r="U20" s="54">
        <v>174332.0</v>
      </c>
      <c r="V20" s="13"/>
      <c r="W20" s="54" t="s">
        <v>350</v>
      </c>
      <c r="X20" s="54">
        <v>175062.0</v>
      </c>
      <c r="Y20" s="13"/>
      <c r="Z20" s="54" t="s">
        <v>350</v>
      </c>
      <c r="AA20" s="54">
        <v>154614.0</v>
      </c>
      <c r="AB20" s="13"/>
      <c r="AC20" s="54" t="s">
        <v>350</v>
      </c>
      <c r="AD20" s="54">
        <v>163554.0</v>
      </c>
      <c r="AE20" s="13"/>
      <c r="AF20" s="54" t="s">
        <v>350</v>
      </c>
      <c r="AG20" s="54">
        <v>172153.0</v>
      </c>
      <c r="AH20" s="13"/>
      <c r="AI20" s="54" t="s">
        <v>350</v>
      </c>
      <c r="AJ20" s="54">
        <v>173540.0</v>
      </c>
      <c r="AK20" s="13"/>
      <c r="AL20" s="54" t="s">
        <v>350</v>
      </c>
      <c r="AM20" s="54">
        <v>177657.0</v>
      </c>
      <c r="AN20" s="13"/>
      <c r="AO20" s="54" t="s">
        <v>350</v>
      </c>
      <c r="AP20" s="54">
        <v>162572.0</v>
      </c>
      <c r="AQ20" s="13"/>
      <c r="AR20" s="54" t="s">
        <v>350</v>
      </c>
      <c r="AS20" s="54">
        <v>162284.0</v>
      </c>
      <c r="AT20" s="13"/>
    </row>
    <row r="21">
      <c r="A21" s="13" t="s">
        <v>351</v>
      </c>
      <c r="B21" s="84">
        <f t="shared" si="1"/>
        <v>287452</v>
      </c>
      <c r="C21" s="13"/>
      <c r="D21" s="13" t="s">
        <v>115</v>
      </c>
      <c r="E21" s="84">
        <v>435446.0</v>
      </c>
      <c r="F21" s="13"/>
      <c r="G21" s="13"/>
      <c r="H21" s="13"/>
      <c r="I21" s="13"/>
      <c r="J21" s="13"/>
      <c r="K21" s="54" t="s">
        <v>351</v>
      </c>
      <c r="L21" s="54">
        <v>18823.0</v>
      </c>
      <c r="M21" s="13"/>
      <c r="N21" s="96" t="s">
        <v>351</v>
      </c>
      <c r="O21" s="97">
        <v>21796.0</v>
      </c>
      <c r="P21" s="13"/>
      <c r="Q21" s="54" t="s">
        <v>351</v>
      </c>
      <c r="R21" s="54">
        <v>24149.0</v>
      </c>
      <c r="S21" s="13"/>
      <c r="T21" s="54" t="s">
        <v>351</v>
      </c>
      <c r="U21" s="54">
        <v>25008.0</v>
      </c>
      <c r="V21" s="13"/>
      <c r="W21" s="54" t="s">
        <v>351</v>
      </c>
      <c r="X21" s="54">
        <v>25660.0</v>
      </c>
      <c r="Y21" s="13"/>
      <c r="Z21" s="54" t="s">
        <v>351</v>
      </c>
      <c r="AA21" s="54">
        <v>22664.0</v>
      </c>
      <c r="AB21" s="13"/>
      <c r="AC21" s="54" t="s">
        <v>351</v>
      </c>
      <c r="AD21" s="54">
        <v>23063.0</v>
      </c>
      <c r="AE21" s="13"/>
      <c r="AF21" s="54" t="s">
        <v>351</v>
      </c>
      <c r="AG21" s="54">
        <v>24551.0</v>
      </c>
      <c r="AH21" s="13"/>
      <c r="AI21" s="54" t="s">
        <v>351</v>
      </c>
      <c r="AJ21" s="54">
        <v>24980.0</v>
      </c>
      <c r="AK21" s="13"/>
      <c r="AL21" s="54" t="s">
        <v>351</v>
      </c>
      <c r="AM21" s="54">
        <v>26666.0</v>
      </c>
      <c r="AN21" s="13"/>
      <c r="AO21" s="54" t="s">
        <v>351</v>
      </c>
      <c r="AP21" s="54">
        <v>26109.0</v>
      </c>
      <c r="AQ21" s="13"/>
      <c r="AR21" s="54" t="s">
        <v>351</v>
      </c>
      <c r="AS21" s="54">
        <v>23983.0</v>
      </c>
      <c r="AT21" s="13"/>
    </row>
    <row r="22">
      <c r="A22" s="13" t="s">
        <v>352</v>
      </c>
      <c r="B22" s="84">
        <f t="shared" si="1"/>
        <v>310130</v>
      </c>
      <c r="C22" s="13"/>
      <c r="D22" s="13" t="s">
        <v>153</v>
      </c>
      <c r="E22" s="84">
        <v>343192.0</v>
      </c>
      <c r="F22" s="13"/>
      <c r="G22" s="13"/>
      <c r="H22" s="13"/>
      <c r="I22" s="13"/>
      <c r="J22" s="13"/>
      <c r="K22" s="54" t="s">
        <v>352</v>
      </c>
      <c r="L22" s="54">
        <v>21535.0</v>
      </c>
      <c r="M22" s="13"/>
      <c r="N22" s="96" t="s">
        <v>352</v>
      </c>
      <c r="O22" s="97">
        <v>22660.0</v>
      </c>
      <c r="P22" s="13"/>
      <c r="Q22" s="54" t="s">
        <v>352</v>
      </c>
      <c r="R22" s="54">
        <v>25040.0</v>
      </c>
      <c r="S22" s="13"/>
      <c r="T22" s="54" t="s">
        <v>352</v>
      </c>
      <c r="U22" s="54">
        <v>28160.0</v>
      </c>
      <c r="V22" s="13"/>
      <c r="W22" s="54" t="s">
        <v>352</v>
      </c>
      <c r="X22" s="54">
        <v>25883.0</v>
      </c>
      <c r="Y22" s="13"/>
      <c r="Z22" s="54" t="s">
        <v>352</v>
      </c>
      <c r="AA22" s="54">
        <v>25885.0</v>
      </c>
      <c r="AB22" s="13"/>
      <c r="AC22" s="54" t="s">
        <v>352</v>
      </c>
      <c r="AD22" s="54">
        <v>26109.0</v>
      </c>
      <c r="AE22" s="13"/>
      <c r="AF22" s="54" t="s">
        <v>352</v>
      </c>
      <c r="AG22" s="54">
        <v>26607.0</v>
      </c>
      <c r="AH22" s="13"/>
      <c r="AI22" s="54" t="s">
        <v>352</v>
      </c>
      <c r="AJ22" s="54">
        <v>26395.0</v>
      </c>
      <c r="AK22" s="13"/>
      <c r="AL22" s="54" t="s">
        <v>352</v>
      </c>
      <c r="AM22" s="54">
        <v>28818.0</v>
      </c>
      <c r="AN22" s="13"/>
      <c r="AO22" s="54" t="s">
        <v>352</v>
      </c>
      <c r="AP22" s="54">
        <v>27280.0</v>
      </c>
      <c r="AQ22" s="13"/>
      <c r="AR22" s="54" t="s">
        <v>352</v>
      </c>
      <c r="AS22" s="54">
        <v>25758.0</v>
      </c>
      <c r="AT22" s="13"/>
    </row>
    <row r="23">
      <c r="A23" s="13" t="s">
        <v>353</v>
      </c>
      <c r="B23" s="84">
        <f t="shared" si="1"/>
        <v>770027</v>
      </c>
      <c r="C23" s="13"/>
      <c r="D23" s="13" t="s">
        <v>155</v>
      </c>
      <c r="E23" s="84">
        <v>93455.0</v>
      </c>
      <c r="F23" s="13"/>
      <c r="G23" s="13"/>
      <c r="H23" s="13"/>
      <c r="I23" s="13"/>
      <c r="J23" s="13"/>
      <c r="K23" s="54" t="s">
        <v>353</v>
      </c>
      <c r="L23" s="54">
        <v>53436.0</v>
      </c>
      <c r="M23" s="13"/>
      <c r="N23" s="96" t="s">
        <v>353</v>
      </c>
      <c r="O23" s="97">
        <v>57664.0</v>
      </c>
      <c r="P23" s="13"/>
      <c r="Q23" s="54" t="s">
        <v>353</v>
      </c>
      <c r="R23" s="54">
        <v>63902.0</v>
      </c>
      <c r="S23" s="13"/>
      <c r="T23" s="54" t="s">
        <v>353</v>
      </c>
      <c r="U23" s="54">
        <v>66946.0</v>
      </c>
      <c r="V23" s="13"/>
      <c r="W23" s="54" t="s">
        <v>353</v>
      </c>
      <c r="X23" s="54">
        <v>66610.0</v>
      </c>
      <c r="Y23" s="13"/>
      <c r="Z23" s="54" t="s">
        <v>353</v>
      </c>
      <c r="AA23" s="54">
        <v>58862.0</v>
      </c>
      <c r="AB23" s="13"/>
      <c r="AC23" s="54" t="s">
        <v>353</v>
      </c>
      <c r="AD23" s="54">
        <v>66040.0</v>
      </c>
      <c r="AE23" s="13"/>
      <c r="AF23" s="54" t="s">
        <v>353</v>
      </c>
      <c r="AG23" s="54">
        <v>67792.0</v>
      </c>
      <c r="AH23" s="13"/>
      <c r="AI23" s="54" t="s">
        <v>353</v>
      </c>
      <c r="AJ23" s="54">
        <v>68355.0</v>
      </c>
      <c r="AK23" s="13"/>
      <c r="AL23" s="54" t="s">
        <v>353</v>
      </c>
      <c r="AM23" s="54">
        <v>71389.0</v>
      </c>
      <c r="AN23" s="13"/>
      <c r="AO23" s="54" t="s">
        <v>353</v>
      </c>
      <c r="AP23" s="54">
        <v>65228.0</v>
      </c>
      <c r="AQ23" s="13"/>
      <c r="AR23" s="54" t="s">
        <v>353</v>
      </c>
      <c r="AS23" s="54">
        <v>63803.0</v>
      </c>
      <c r="AT23" s="13"/>
    </row>
    <row r="24">
      <c r="A24" s="13" t="s">
        <v>354</v>
      </c>
      <c r="B24" s="84">
        <f t="shared" si="1"/>
        <v>241782</v>
      </c>
      <c r="C24" s="13"/>
      <c r="D24" s="13" t="s">
        <v>145</v>
      </c>
      <c r="E24" s="84">
        <v>163913.0</v>
      </c>
      <c r="F24" s="13"/>
      <c r="G24" s="13"/>
      <c r="H24" s="13"/>
      <c r="I24" s="13"/>
      <c r="J24" s="13"/>
      <c r="K24" s="54" t="s">
        <v>354</v>
      </c>
      <c r="L24" s="54">
        <v>18941.0</v>
      </c>
      <c r="M24" s="13"/>
      <c r="N24" s="96" t="s">
        <v>354</v>
      </c>
      <c r="O24" s="97">
        <v>20032.0</v>
      </c>
      <c r="P24" s="13"/>
      <c r="Q24" s="54" t="s">
        <v>354</v>
      </c>
      <c r="R24" s="54">
        <v>21312.0</v>
      </c>
      <c r="S24" s="13"/>
      <c r="T24" s="54" t="s">
        <v>354</v>
      </c>
      <c r="U24" s="54">
        <v>20438.0</v>
      </c>
      <c r="V24" s="13"/>
      <c r="W24" s="54" t="s">
        <v>354</v>
      </c>
      <c r="X24" s="54">
        <v>23286.0</v>
      </c>
      <c r="Y24" s="13"/>
      <c r="Z24" s="54" t="s">
        <v>354</v>
      </c>
      <c r="AA24" s="54">
        <v>18078.0</v>
      </c>
      <c r="AB24" s="13"/>
      <c r="AC24" s="54" t="s">
        <v>354</v>
      </c>
      <c r="AD24" s="54">
        <v>18655.0</v>
      </c>
      <c r="AE24" s="13"/>
      <c r="AF24" s="54" t="s">
        <v>354</v>
      </c>
      <c r="AG24" s="54">
        <v>19878.0</v>
      </c>
      <c r="AH24" s="13"/>
      <c r="AI24" s="54" t="s">
        <v>354</v>
      </c>
      <c r="AJ24" s="54">
        <v>21467.0</v>
      </c>
      <c r="AK24" s="13"/>
      <c r="AL24" s="54" t="s">
        <v>354</v>
      </c>
      <c r="AM24" s="54">
        <v>21606.0</v>
      </c>
      <c r="AN24" s="13"/>
      <c r="AO24" s="54" t="s">
        <v>354</v>
      </c>
      <c r="AP24" s="54">
        <v>19257.0</v>
      </c>
      <c r="AQ24" s="13"/>
      <c r="AR24" s="54" t="s">
        <v>354</v>
      </c>
      <c r="AS24" s="54">
        <v>18832.0</v>
      </c>
      <c r="AT24" s="13"/>
    </row>
    <row r="25">
      <c r="A25" s="13" t="s">
        <v>355</v>
      </c>
      <c r="B25" s="84">
        <f t="shared" si="1"/>
        <v>192733</v>
      </c>
      <c r="C25" s="13"/>
      <c r="D25" s="13" t="s">
        <v>27</v>
      </c>
      <c r="E25" s="84">
        <v>979428.0</v>
      </c>
      <c r="F25" s="13"/>
      <c r="G25" s="13"/>
      <c r="H25" s="13"/>
      <c r="I25" s="13"/>
      <c r="J25" s="13"/>
      <c r="K25" s="54" t="s">
        <v>355</v>
      </c>
      <c r="L25" s="54">
        <v>14680.0</v>
      </c>
      <c r="M25" s="13"/>
      <c r="N25" s="96" t="s">
        <v>355</v>
      </c>
      <c r="O25" s="97">
        <v>15440.0</v>
      </c>
      <c r="P25" s="13"/>
      <c r="Q25" s="54" t="s">
        <v>355</v>
      </c>
      <c r="R25" s="54">
        <v>15367.0</v>
      </c>
      <c r="S25" s="13"/>
      <c r="T25" s="54" t="s">
        <v>355</v>
      </c>
      <c r="U25" s="54">
        <v>15586.0</v>
      </c>
      <c r="V25" s="13"/>
      <c r="W25" s="54" t="s">
        <v>355</v>
      </c>
      <c r="X25" s="54">
        <v>17283.0</v>
      </c>
      <c r="Y25" s="13"/>
      <c r="Z25" s="54" t="s">
        <v>355</v>
      </c>
      <c r="AA25" s="54">
        <v>15342.0</v>
      </c>
      <c r="AB25" s="13"/>
      <c r="AC25" s="54" t="s">
        <v>355</v>
      </c>
      <c r="AD25" s="54">
        <v>15638.0</v>
      </c>
      <c r="AE25" s="13"/>
      <c r="AF25" s="54" t="s">
        <v>355</v>
      </c>
      <c r="AG25" s="54">
        <v>15803.0</v>
      </c>
      <c r="AH25" s="13"/>
      <c r="AI25" s="54" t="s">
        <v>355</v>
      </c>
      <c r="AJ25" s="54">
        <v>16565.0</v>
      </c>
      <c r="AK25" s="13"/>
      <c r="AL25" s="54" t="s">
        <v>355</v>
      </c>
      <c r="AM25" s="54">
        <v>18353.0</v>
      </c>
      <c r="AN25" s="13"/>
      <c r="AO25" s="54" t="s">
        <v>355</v>
      </c>
      <c r="AP25" s="54">
        <v>16485.0</v>
      </c>
      <c r="AQ25" s="13"/>
      <c r="AR25" s="54" t="s">
        <v>355</v>
      </c>
      <c r="AS25" s="54">
        <v>16191.0</v>
      </c>
      <c r="AT25" s="13"/>
    </row>
    <row r="26">
      <c r="A26" s="13" t="s">
        <v>356</v>
      </c>
      <c r="B26" s="84">
        <f t="shared" si="1"/>
        <v>406909</v>
      </c>
      <c r="C26" s="13"/>
      <c r="D26" s="13" t="s">
        <v>227</v>
      </c>
      <c r="E26" s="84">
        <v>1709706.0</v>
      </c>
      <c r="F26" s="13"/>
      <c r="G26" s="13"/>
      <c r="H26" s="13"/>
      <c r="I26" s="13"/>
      <c r="J26" s="13"/>
      <c r="K26" s="54" t="s">
        <v>356</v>
      </c>
      <c r="L26" s="54">
        <v>31211.0</v>
      </c>
      <c r="M26" s="13"/>
      <c r="N26" s="96" t="s">
        <v>356</v>
      </c>
      <c r="O26" s="97">
        <v>30832.0</v>
      </c>
      <c r="P26" s="13"/>
      <c r="Q26" s="54" t="s">
        <v>356</v>
      </c>
      <c r="R26" s="54">
        <v>33224.0</v>
      </c>
      <c r="S26" s="13"/>
      <c r="T26" s="54" t="s">
        <v>356</v>
      </c>
      <c r="U26" s="54">
        <v>34374.0</v>
      </c>
      <c r="V26" s="13"/>
      <c r="W26" s="54" t="s">
        <v>356</v>
      </c>
      <c r="X26" s="54">
        <v>38603.0</v>
      </c>
      <c r="Y26" s="13"/>
      <c r="Z26" s="54" t="s">
        <v>356</v>
      </c>
      <c r="AA26" s="54">
        <v>31987.0</v>
      </c>
      <c r="AB26" s="13"/>
      <c r="AC26" s="54" t="s">
        <v>356</v>
      </c>
      <c r="AD26" s="54">
        <v>31376.0</v>
      </c>
      <c r="AE26" s="13"/>
      <c r="AF26" s="54" t="s">
        <v>356</v>
      </c>
      <c r="AG26" s="54">
        <v>33249.0</v>
      </c>
      <c r="AH26" s="13"/>
      <c r="AI26" s="54" t="s">
        <v>356</v>
      </c>
      <c r="AJ26" s="54">
        <v>35442.0</v>
      </c>
      <c r="AK26" s="13"/>
      <c r="AL26" s="54" t="s">
        <v>356</v>
      </c>
      <c r="AM26" s="54">
        <v>36910.0</v>
      </c>
      <c r="AN26" s="13"/>
      <c r="AO26" s="54" t="s">
        <v>356</v>
      </c>
      <c r="AP26" s="54">
        <v>34072.0</v>
      </c>
      <c r="AQ26" s="13"/>
      <c r="AR26" s="54" t="s">
        <v>356</v>
      </c>
      <c r="AS26" s="54">
        <v>35629.0</v>
      </c>
      <c r="AT26" s="13"/>
    </row>
    <row r="27">
      <c r="A27" s="13" t="s">
        <v>357</v>
      </c>
      <c r="B27" s="84">
        <f t="shared" si="1"/>
        <v>286533</v>
      </c>
      <c r="C27" s="13"/>
      <c r="D27" s="13" t="s">
        <v>125</v>
      </c>
      <c r="E27" s="84">
        <v>197029.0</v>
      </c>
      <c r="F27" s="13"/>
      <c r="G27" s="13"/>
      <c r="H27" s="13"/>
      <c r="I27" s="13"/>
      <c r="J27" s="13"/>
      <c r="K27" s="54" t="s">
        <v>357</v>
      </c>
      <c r="L27" s="54">
        <v>22745.0</v>
      </c>
      <c r="M27" s="13"/>
      <c r="N27" s="96" t="s">
        <v>357</v>
      </c>
      <c r="O27" s="97">
        <v>21312.0</v>
      </c>
      <c r="P27" s="13"/>
      <c r="Q27" s="54" t="s">
        <v>357</v>
      </c>
      <c r="R27" s="54">
        <v>23304.0</v>
      </c>
      <c r="S27" s="13"/>
      <c r="T27" s="54" t="s">
        <v>357</v>
      </c>
      <c r="U27" s="54">
        <v>25034.0</v>
      </c>
      <c r="V27" s="13"/>
      <c r="W27" s="54" t="s">
        <v>357</v>
      </c>
      <c r="X27" s="54">
        <v>26262.0</v>
      </c>
      <c r="Y27" s="13"/>
      <c r="Z27" s="54" t="s">
        <v>357</v>
      </c>
      <c r="AA27" s="54">
        <v>22011.0</v>
      </c>
      <c r="AB27" s="13"/>
      <c r="AC27" s="54" t="s">
        <v>357</v>
      </c>
      <c r="AD27" s="54">
        <v>22793.0</v>
      </c>
      <c r="AE27" s="13"/>
      <c r="AF27" s="54" t="s">
        <v>357</v>
      </c>
      <c r="AG27" s="54">
        <v>23302.0</v>
      </c>
      <c r="AH27" s="13"/>
      <c r="AI27" s="54" t="s">
        <v>357</v>
      </c>
      <c r="AJ27" s="54">
        <v>24883.0</v>
      </c>
      <c r="AK27" s="13"/>
      <c r="AL27" s="54" t="s">
        <v>357</v>
      </c>
      <c r="AM27" s="54">
        <v>26051.0</v>
      </c>
      <c r="AN27" s="13"/>
      <c r="AO27" s="54" t="s">
        <v>357</v>
      </c>
      <c r="AP27" s="54">
        <v>24011.0</v>
      </c>
      <c r="AQ27" s="13"/>
      <c r="AR27" s="54" t="s">
        <v>357</v>
      </c>
      <c r="AS27" s="54">
        <v>24825.0</v>
      </c>
      <c r="AT27" s="13"/>
    </row>
    <row r="28">
      <c r="A28" s="13" t="s">
        <v>358</v>
      </c>
      <c r="B28" s="84">
        <f t="shared" si="1"/>
        <v>125815</v>
      </c>
      <c r="C28" s="13"/>
      <c r="D28" s="13" t="s">
        <v>93</v>
      </c>
      <c r="E28" s="84">
        <v>158546.0</v>
      </c>
      <c r="F28" s="13"/>
      <c r="G28" s="13"/>
      <c r="H28" s="13"/>
      <c r="I28" s="13"/>
      <c r="J28" s="13"/>
      <c r="K28" s="54" t="s">
        <v>358</v>
      </c>
      <c r="L28" s="54">
        <v>9664.0</v>
      </c>
      <c r="M28" s="13"/>
      <c r="N28" s="96" t="s">
        <v>358</v>
      </c>
      <c r="O28" s="97">
        <v>9512.0</v>
      </c>
      <c r="P28" s="13"/>
      <c r="Q28" s="54" t="s">
        <v>358</v>
      </c>
      <c r="R28" s="54">
        <v>10473.0</v>
      </c>
      <c r="S28" s="13"/>
      <c r="T28" s="54" t="s">
        <v>358</v>
      </c>
      <c r="U28" s="54">
        <v>10788.0</v>
      </c>
      <c r="V28" s="13"/>
      <c r="W28" s="54" t="s">
        <v>358</v>
      </c>
      <c r="X28" s="54">
        <v>11181.0</v>
      </c>
      <c r="Y28" s="13"/>
      <c r="Z28" s="54" t="s">
        <v>358</v>
      </c>
      <c r="AA28" s="54">
        <v>9746.0</v>
      </c>
      <c r="AB28" s="13"/>
      <c r="AC28" s="54" t="s">
        <v>358</v>
      </c>
      <c r="AD28" s="54">
        <v>10116.0</v>
      </c>
      <c r="AE28" s="13"/>
      <c r="AF28" s="54" t="s">
        <v>358</v>
      </c>
      <c r="AG28" s="54">
        <v>10941.0</v>
      </c>
      <c r="AH28" s="13"/>
      <c r="AI28" s="54" t="s">
        <v>358</v>
      </c>
      <c r="AJ28" s="54">
        <v>11143.0</v>
      </c>
      <c r="AK28" s="13"/>
      <c r="AL28" s="54" t="s">
        <v>358</v>
      </c>
      <c r="AM28" s="54">
        <v>11266.0</v>
      </c>
      <c r="AN28" s="13"/>
      <c r="AO28" s="54" t="s">
        <v>358</v>
      </c>
      <c r="AP28" s="54">
        <v>10550.0</v>
      </c>
      <c r="AQ28" s="13"/>
      <c r="AR28" s="54" t="s">
        <v>358</v>
      </c>
      <c r="AS28" s="54">
        <v>10435.0</v>
      </c>
      <c r="AT28" s="13"/>
    </row>
    <row r="29">
      <c r="A29" s="13" t="s">
        <v>359</v>
      </c>
      <c r="B29" s="84">
        <f t="shared" si="1"/>
        <v>158546</v>
      </c>
      <c r="C29" s="13"/>
      <c r="D29" s="13" t="s">
        <v>183</v>
      </c>
      <c r="E29" s="84">
        <v>104182.0</v>
      </c>
      <c r="F29" s="13"/>
      <c r="G29" s="13"/>
      <c r="H29" s="13"/>
      <c r="I29" s="13"/>
      <c r="J29" s="13"/>
      <c r="K29" s="54" t="s">
        <v>359</v>
      </c>
      <c r="L29" s="54">
        <v>12311.0</v>
      </c>
      <c r="M29" s="13"/>
      <c r="N29" s="96" t="s">
        <v>359</v>
      </c>
      <c r="O29" s="97">
        <v>12096.0</v>
      </c>
      <c r="P29" s="13"/>
      <c r="Q29" s="54" t="s">
        <v>359</v>
      </c>
      <c r="R29" s="54">
        <v>13139.0</v>
      </c>
      <c r="S29" s="13"/>
      <c r="T29" s="54" t="s">
        <v>359</v>
      </c>
      <c r="U29" s="54">
        <v>13960.0</v>
      </c>
      <c r="V29" s="13"/>
      <c r="W29" s="54" t="s">
        <v>359</v>
      </c>
      <c r="X29" s="54">
        <v>14302.0</v>
      </c>
      <c r="Y29" s="13"/>
      <c r="Z29" s="54" t="s">
        <v>359</v>
      </c>
      <c r="AA29" s="54">
        <v>12598.0</v>
      </c>
      <c r="AB29" s="13"/>
      <c r="AC29" s="54" t="s">
        <v>359</v>
      </c>
      <c r="AD29" s="54">
        <v>12914.0</v>
      </c>
      <c r="AE29" s="13"/>
      <c r="AF29" s="54" t="s">
        <v>359</v>
      </c>
      <c r="AG29" s="54">
        <v>13914.0</v>
      </c>
      <c r="AH29" s="13"/>
      <c r="AI29" s="54" t="s">
        <v>359</v>
      </c>
      <c r="AJ29" s="54">
        <v>13668.0</v>
      </c>
      <c r="AK29" s="13"/>
      <c r="AL29" s="54" t="s">
        <v>359</v>
      </c>
      <c r="AM29" s="54">
        <v>14272.0</v>
      </c>
      <c r="AN29" s="13"/>
      <c r="AO29" s="54" t="s">
        <v>359</v>
      </c>
      <c r="AP29" s="54">
        <v>12582.0</v>
      </c>
      <c r="AQ29" s="13"/>
      <c r="AR29" s="54" t="s">
        <v>359</v>
      </c>
      <c r="AS29" s="54">
        <v>12790.0</v>
      </c>
      <c r="AT29" s="13"/>
    </row>
    <row r="30">
      <c r="A30" s="13" t="s">
        <v>360</v>
      </c>
      <c r="B30" s="84">
        <f t="shared" si="1"/>
        <v>661730</v>
      </c>
      <c r="C30" s="13"/>
      <c r="D30" s="13" t="s">
        <v>171</v>
      </c>
      <c r="E30" s="84">
        <v>469733.0</v>
      </c>
      <c r="F30" s="13"/>
      <c r="G30" s="13"/>
      <c r="H30" s="13"/>
      <c r="I30" s="13"/>
      <c r="J30" s="13"/>
      <c r="K30" s="54" t="s">
        <v>360</v>
      </c>
      <c r="L30" s="54">
        <v>52968.0</v>
      </c>
      <c r="M30" s="13"/>
      <c r="N30" s="96" t="s">
        <v>360</v>
      </c>
      <c r="O30" s="97">
        <v>50040.0</v>
      </c>
      <c r="P30" s="13"/>
      <c r="Q30" s="54" t="s">
        <v>360</v>
      </c>
      <c r="R30" s="54">
        <v>53695.0</v>
      </c>
      <c r="S30" s="13"/>
      <c r="T30" s="54" t="s">
        <v>360</v>
      </c>
      <c r="U30" s="54">
        <v>55622.0</v>
      </c>
      <c r="V30" s="13"/>
      <c r="W30" s="54" t="s">
        <v>360</v>
      </c>
      <c r="X30" s="54">
        <v>59883.0</v>
      </c>
      <c r="Y30" s="13"/>
      <c r="Z30" s="54" t="s">
        <v>360</v>
      </c>
      <c r="AA30" s="54">
        <v>53112.0</v>
      </c>
      <c r="AB30" s="13"/>
      <c r="AC30" s="54" t="s">
        <v>360</v>
      </c>
      <c r="AD30" s="54">
        <v>55897.0</v>
      </c>
      <c r="AE30" s="13"/>
      <c r="AF30" s="54" t="s">
        <v>360</v>
      </c>
      <c r="AG30" s="54">
        <v>55819.0</v>
      </c>
      <c r="AH30" s="13"/>
      <c r="AI30" s="54" t="s">
        <v>360</v>
      </c>
      <c r="AJ30" s="54">
        <v>55702.0</v>
      </c>
      <c r="AK30" s="13"/>
      <c r="AL30" s="54" t="s">
        <v>360</v>
      </c>
      <c r="AM30" s="54">
        <v>57929.0</v>
      </c>
      <c r="AN30" s="13"/>
      <c r="AO30" s="54" t="s">
        <v>360</v>
      </c>
      <c r="AP30" s="54">
        <v>56064.0</v>
      </c>
      <c r="AQ30" s="13"/>
      <c r="AR30" s="54" t="s">
        <v>360</v>
      </c>
      <c r="AS30" s="54">
        <v>54999.0</v>
      </c>
      <c r="AT30" s="13"/>
    </row>
    <row r="31">
      <c r="A31" s="13" t="s">
        <v>361</v>
      </c>
      <c r="B31" s="84">
        <f t="shared" si="1"/>
        <v>979428</v>
      </c>
      <c r="C31" s="13"/>
      <c r="D31" s="13" t="s">
        <v>111</v>
      </c>
      <c r="E31" s="84">
        <v>893584.0</v>
      </c>
      <c r="F31" s="13"/>
      <c r="G31" s="13"/>
      <c r="H31" s="13"/>
      <c r="I31" s="13"/>
      <c r="J31" s="13"/>
      <c r="K31" s="54" t="s">
        <v>361</v>
      </c>
      <c r="L31" s="54">
        <v>69435.0</v>
      </c>
      <c r="M31" s="13"/>
      <c r="N31" s="96" t="s">
        <v>361</v>
      </c>
      <c r="O31" s="97">
        <v>72032.0</v>
      </c>
      <c r="P31" s="13"/>
      <c r="Q31" s="54" t="s">
        <v>361</v>
      </c>
      <c r="R31" s="54">
        <v>84642.0</v>
      </c>
      <c r="S31" s="13"/>
      <c r="T31" s="54" t="s">
        <v>361</v>
      </c>
      <c r="U31" s="54">
        <v>85972.0</v>
      </c>
      <c r="V31" s="13"/>
      <c r="W31" s="54" t="s">
        <v>361</v>
      </c>
      <c r="X31" s="54">
        <v>81386.0</v>
      </c>
      <c r="Y31" s="13"/>
      <c r="Z31" s="54" t="s">
        <v>361</v>
      </c>
      <c r="AA31" s="54">
        <v>80038.0</v>
      </c>
      <c r="AB31" s="13"/>
      <c r="AC31" s="54" t="s">
        <v>361</v>
      </c>
      <c r="AD31" s="54">
        <v>89731.0</v>
      </c>
      <c r="AE31" s="13"/>
      <c r="AF31" s="54" t="s">
        <v>361</v>
      </c>
      <c r="AG31" s="54">
        <v>85099.0</v>
      </c>
      <c r="AH31" s="13"/>
      <c r="AI31" s="54" t="s">
        <v>361</v>
      </c>
      <c r="AJ31" s="54">
        <v>83765.0</v>
      </c>
      <c r="AK31" s="13"/>
      <c r="AL31" s="54" t="s">
        <v>361</v>
      </c>
      <c r="AM31" s="54">
        <v>89675.0</v>
      </c>
      <c r="AN31" s="13"/>
      <c r="AO31" s="54" t="s">
        <v>361</v>
      </c>
      <c r="AP31" s="54">
        <v>77985.0</v>
      </c>
      <c r="AQ31" s="13"/>
      <c r="AR31" s="54" t="s">
        <v>361</v>
      </c>
      <c r="AS31" s="54">
        <v>79668.0</v>
      </c>
      <c r="AT31" s="13"/>
    </row>
    <row r="32">
      <c r="A32" s="13" t="s">
        <v>362</v>
      </c>
      <c r="B32" s="84">
        <f t="shared" si="1"/>
        <v>253484</v>
      </c>
      <c r="C32" s="13"/>
      <c r="D32" s="13" t="s">
        <v>191</v>
      </c>
      <c r="E32" s="84">
        <v>534150.0</v>
      </c>
      <c r="F32" s="13"/>
      <c r="G32" s="13"/>
      <c r="H32" s="13"/>
      <c r="I32" s="13"/>
      <c r="J32" s="13"/>
      <c r="K32" s="54" t="s">
        <v>362</v>
      </c>
      <c r="L32" s="54">
        <v>18394.0</v>
      </c>
      <c r="M32" s="13"/>
      <c r="N32" s="96" t="s">
        <v>362</v>
      </c>
      <c r="O32" s="97">
        <v>19604.0</v>
      </c>
      <c r="P32" s="13"/>
      <c r="Q32" s="54" t="s">
        <v>362</v>
      </c>
      <c r="R32" s="54">
        <v>21357.0</v>
      </c>
      <c r="S32" s="13"/>
      <c r="T32" s="54" t="s">
        <v>362</v>
      </c>
      <c r="U32" s="54">
        <v>21576.0</v>
      </c>
      <c r="V32" s="13"/>
      <c r="W32" s="54" t="s">
        <v>362</v>
      </c>
      <c r="X32" s="54">
        <v>21313.0</v>
      </c>
      <c r="Y32" s="13"/>
      <c r="Z32" s="54" t="s">
        <v>362</v>
      </c>
      <c r="AA32" s="54">
        <v>20707.0</v>
      </c>
      <c r="AB32" s="13"/>
      <c r="AC32" s="54" t="s">
        <v>362</v>
      </c>
      <c r="AD32" s="54">
        <v>19958.0</v>
      </c>
      <c r="AE32" s="13"/>
      <c r="AF32" s="54" t="s">
        <v>362</v>
      </c>
      <c r="AG32" s="54">
        <v>22253.0</v>
      </c>
      <c r="AH32" s="13"/>
      <c r="AI32" s="54" t="s">
        <v>362</v>
      </c>
      <c r="AJ32" s="54">
        <v>22568.0</v>
      </c>
      <c r="AK32" s="13"/>
      <c r="AL32" s="54" t="s">
        <v>362</v>
      </c>
      <c r="AM32" s="54">
        <v>23070.0</v>
      </c>
      <c r="AN32" s="13"/>
      <c r="AO32" s="54" t="s">
        <v>362</v>
      </c>
      <c r="AP32" s="54">
        <v>20726.0</v>
      </c>
      <c r="AQ32" s="13"/>
      <c r="AR32" s="54" t="s">
        <v>362</v>
      </c>
      <c r="AS32" s="54">
        <v>21958.0</v>
      </c>
      <c r="AT32" s="13"/>
    </row>
    <row r="33">
      <c r="A33" s="13" t="s">
        <v>363</v>
      </c>
      <c r="B33" s="84">
        <f t="shared" si="1"/>
        <v>104217</v>
      </c>
      <c r="C33" s="13"/>
      <c r="D33" s="13" t="s">
        <v>117</v>
      </c>
      <c r="E33" s="84">
        <v>508800.0</v>
      </c>
      <c r="F33" s="13"/>
      <c r="G33" s="13"/>
      <c r="H33" s="13"/>
      <c r="I33" s="13"/>
      <c r="J33" s="13"/>
      <c r="K33" s="54" t="s">
        <v>363</v>
      </c>
      <c r="L33" s="54">
        <v>7559.0</v>
      </c>
      <c r="M33" s="13"/>
      <c r="N33" s="96" t="s">
        <v>363</v>
      </c>
      <c r="O33" s="97">
        <v>7588.0</v>
      </c>
      <c r="P33" s="13"/>
      <c r="Q33" s="54" t="s">
        <v>363</v>
      </c>
      <c r="R33" s="54">
        <v>8290.0</v>
      </c>
      <c r="S33" s="13"/>
      <c r="T33" s="54" t="s">
        <v>363</v>
      </c>
      <c r="U33" s="54">
        <v>9692.0</v>
      </c>
      <c r="V33" s="13"/>
      <c r="W33" s="54" t="s">
        <v>363</v>
      </c>
      <c r="X33" s="54">
        <v>8318.0</v>
      </c>
      <c r="Y33" s="13"/>
      <c r="Z33" s="54" t="s">
        <v>363</v>
      </c>
      <c r="AA33" s="54">
        <v>9301.0</v>
      </c>
      <c r="AB33" s="13"/>
      <c r="AC33" s="54" t="s">
        <v>363</v>
      </c>
      <c r="AD33" s="54">
        <v>12831.0</v>
      </c>
      <c r="AE33" s="13"/>
      <c r="AF33" s="54" t="s">
        <v>363</v>
      </c>
      <c r="AG33" s="54">
        <v>9403.0</v>
      </c>
      <c r="AH33" s="13"/>
      <c r="AI33" s="54" t="s">
        <v>363</v>
      </c>
      <c r="AJ33" s="54">
        <v>8459.0</v>
      </c>
      <c r="AK33" s="13"/>
      <c r="AL33" s="54" t="s">
        <v>363</v>
      </c>
      <c r="AM33" s="54">
        <v>8710.0</v>
      </c>
      <c r="AN33" s="13"/>
      <c r="AO33" s="54" t="s">
        <v>363</v>
      </c>
      <c r="AP33" s="54">
        <v>6917.0</v>
      </c>
      <c r="AQ33" s="13"/>
      <c r="AR33" s="54" t="s">
        <v>363</v>
      </c>
      <c r="AS33" s="54">
        <v>7149.0</v>
      </c>
      <c r="AT33" s="13"/>
    </row>
    <row r="34">
      <c r="A34" s="13" t="s">
        <v>364</v>
      </c>
      <c r="B34" s="84">
        <f t="shared" si="1"/>
        <v>118497</v>
      </c>
      <c r="C34" s="13"/>
      <c r="D34" s="13" t="s">
        <v>181</v>
      </c>
      <c r="E34" s="84">
        <v>557665.0</v>
      </c>
      <c r="F34" s="13"/>
      <c r="G34" s="13"/>
      <c r="H34" s="13"/>
      <c r="I34" s="13"/>
      <c r="J34" s="13"/>
      <c r="K34" s="54" t="s">
        <v>364</v>
      </c>
      <c r="L34" s="54">
        <v>9456.0</v>
      </c>
      <c r="M34" s="13"/>
      <c r="N34" s="96" t="s">
        <v>364</v>
      </c>
      <c r="O34" s="97">
        <v>9504.0</v>
      </c>
      <c r="P34" s="13"/>
      <c r="Q34" s="54" t="s">
        <v>364</v>
      </c>
      <c r="R34" s="54">
        <v>9982.0</v>
      </c>
      <c r="S34" s="13"/>
      <c r="T34" s="54" t="s">
        <v>364</v>
      </c>
      <c r="U34" s="54">
        <v>10032.0</v>
      </c>
      <c r="V34" s="13"/>
      <c r="W34" s="54" t="s">
        <v>364</v>
      </c>
      <c r="X34" s="54">
        <v>10101.0</v>
      </c>
      <c r="Y34" s="13"/>
      <c r="Z34" s="54" t="s">
        <v>364</v>
      </c>
      <c r="AA34" s="54">
        <v>9984.0</v>
      </c>
      <c r="AB34" s="13"/>
      <c r="AC34" s="54" t="s">
        <v>364</v>
      </c>
      <c r="AD34" s="54">
        <v>10600.0</v>
      </c>
      <c r="AE34" s="13"/>
      <c r="AF34" s="54" t="s">
        <v>364</v>
      </c>
      <c r="AG34" s="54">
        <v>10768.0</v>
      </c>
      <c r="AH34" s="13"/>
      <c r="AI34" s="54" t="s">
        <v>364</v>
      </c>
      <c r="AJ34" s="54">
        <v>9957.0</v>
      </c>
      <c r="AK34" s="13"/>
      <c r="AL34" s="54" t="s">
        <v>364</v>
      </c>
      <c r="AM34" s="54">
        <v>10169.0</v>
      </c>
      <c r="AN34" s="13"/>
      <c r="AO34" s="54" t="s">
        <v>364</v>
      </c>
      <c r="AP34" s="54">
        <v>8478.0</v>
      </c>
      <c r="AQ34" s="13"/>
      <c r="AR34" s="54" t="s">
        <v>364</v>
      </c>
      <c r="AS34" s="54">
        <v>9466.0</v>
      </c>
      <c r="AT34" s="13"/>
    </row>
    <row r="35">
      <c r="A35" s="13" t="s">
        <v>365</v>
      </c>
      <c r="B35" s="84">
        <f t="shared" si="1"/>
        <v>593791</v>
      </c>
      <c r="C35" s="13"/>
      <c r="D35" s="13" t="s">
        <v>53</v>
      </c>
      <c r="E35" s="84">
        <v>902388.0</v>
      </c>
      <c r="F35" s="13"/>
      <c r="G35" s="13"/>
      <c r="H35" s="13"/>
      <c r="I35" s="13"/>
      <c r="J35" s="13"/>
      <c r="K35" s="54" t="s">
        <v>365</v>
      </c>
      <c r="L35" s="54">
        <v>47189.0</v>
      </c>
      <c r="M35" s="13"/>
      <c r="N35" s="96" t="s">
        <v>365</v>
      </c>
      <c r="O35" s="97">
        <v>47920.0</v>
      </c>
      <c r="P35" s="13"/>
      <c r="Q35" s="54" t="s">
        <v>365</v>
      </c>
      <c r="R35" s="54">
        <v>50904.0</v>
      </c>
      <c r="S35" s="13"/>
      <c r="T35" s="54" t="s">
        <v>365</v>
      </c>
      <c r="U35" s="54">
        <v>51272.0</v>
      </c>
      <c r="V35" s="13"/>
      <c r="W35" s="54" t="s">
        <v>365</v>
      </c>
      <c r="X35" s="54">
        <v>50600.0</v>
      </c>
      <c r="Y35" s="13"/>
      <c r="Z35" s="54" t="s">
        <v>365</v>
      </c>
      <c r="AA35" s="54">
        <v>48486.0</v>
      </c>
      <c r="AB35" s="13"/>
      <c r="AC35" s="54" t="s">
        <v>365</v>
      </c>
      <c r="AD35" s="54">
        <v>48594.0</v>
      </c>
      <c r="AE35" s="13"/>
      <c r="AF35" s="54" t="s">
        <v>365</v>
      </c>
      <c r="AG35" s="54">
        <v>51333.0</v>
      </c>
      <c r="AH35" s="13"/>
      <c r="AI35" s="54" t="s">
        <v>365</v>
      </c>
      <c r="AJ35" s="54">
        <v>49571.0</v>
      </c>
      <c r="AK35" s="13"/>
      <c r="AL35" s="54" t="s">
        <v>365</v>
      </c>
      <c r="AM35" s="54">
        <v>53091.0</v>
      </c>
      <c r="AN35" s="13"/>
      <c r="AO35" s="54" t="s">
        <v>365</v>
      </c>
      <c r="AP35" s="54">
        <v>45849.0</v>
      </c>
      <c r="AQ35" s="13"/>
      <c r="AR35" s="54" t="s">
        <v>365</v>
      </c>
      <c r="AS35" s="54">
        <v>48982.0</v>
      </c>
      <c r="AT35" s="13"/>
    </row>
    <row r="36">
      <c r="A36" s="13" t="s">
        <v>366</v>
      </c>
      <c r="B36" s="84">
        <f t="shared" si="1"/>
        <v>536563</v>
      </c>
      <c r="C36" s="13"/>
      <c r="D36" s="13" t="s">
        <v>63</v>
      </c>
      <c r="E36" s="84">
        <v>879577.0</v>
      </c>
      <c r="F36" s="13"/>
      <c r="G36" s="13"/>
      <c r="H36" s="13"/>
      <c r="I36" s="13"/>
      <c r="J36" s="13"/>
      <c r="K36" s="54" t="s">
        <v>366</v>
      </c>
      <c r="L36" s="54">
        <v>43776.0</v>
      </c>
      <c r="M36" s="13"/>
      <c r="N36" s="96" t="s">
        <v>366</v>
      </c>
      <c r="O36" s="97">
        <v>43588.0</v>
      </c>
      <c r="P36" s="13"/>
      <c r="Q36" s="54" t="s">
        <v>366</v>
      </c>
      <c r="R36" s="54">
        <v>47735.0</v>
      </c>
      <c r="S36" s="13"/>
      <c r="T36" s="54" t="s">
        <v>366</v>
      </c>
      <c r="U36" s="54">
        <v>47876.0</v>
      </c>
      <c r="V36" s="13"/>
      <c r="W36" s="54" t="s">
        <v>366</v>
      </c>
      <c r="X36" s="54">
        <v>45218.0</v>
      </c>
      <c r="Y36" s="13"/>
      <c r="Z36" s="54" t="s">
        <v>366</v>
      </c>
      <c r="AA36" s="54">
        <v>40694.0</v>
      </c>
      <c r="AB36" s="13"/>
      <c r="AC36" s="54" t="s">
        <v>366</v>
      </c>
      <c r="AD36" s="54">
        <v>42427.0</v>
      </c>
      <c r="AE36" s="13"/>
      <c r="AF36" s="54" t="s">
        <v>366</v>
      </c>
      <c r="AG36" s="54">
        <v>45124.0</v>
      </c>
      <c r="AH36" s="13"/>
      <c r="AI36" s="54" t="s">
        <v>366</v>
      </c>
      <c r="AJ36" s="54">
        <v>46222.0</v>
      </c>
      <c r="AK36" s="13"/>
      <c r="AL36" s="54" t="s">
        <v>366</v>
      </c>
      <c r="AM36" s="54">
        <v>48760.0</v>
      </c>
      <c r="AN36" s="13"/>
      <c r="AO36" s="54" t="s">
        <v>366</v>
      </c>
      <c r="AP36" s="54">
        <v>42363.0</v>
      </c>
      <c r="AQ36" s="13"/>
      <c r="AR36" s="54" t="s">
        <v>366</v>
      </c>
      <c r="AS36" s="54">
        <v>42780.0</v>
      </c>
      <c r="AT36" s="13"/>
    </row>
    <row r="37">
      <c r="A37" s="13" t="s">
        <v>367</v>
      </c>
      <c r="B37" s="84">
        <f t="shared" si="1"/>
        <v>470596</v>
      </c>
      <c r="C37" s="13"/>
      <c r="D37" s="13" t="s">
        <v>187</v>
      </c>
      <c r="E37" s="84">
        <v>478299.0</v>
      </c>
      <c r="F37" s="13"/>
      <c r="G37" s="13"/>
      <c r="H37" s="13"/>
      <c r="I37" s="13"/>
      <c r="J37" s="13"/>
      <c r="K37" s="54" t="s">
        <v>367</v>
      </c>
      <c r="L37" s="54">
        <v>37405.0</v>
      </c>
      <c r="M37" s="13"/>
      <c r="N37" s="96" t="s">
        <v>367</v>
      </c>
      <c r="O37" s="97">
        <v>36676.0</v>
      </c>
      <c r="P37" s="13"/>
      <c r="Q37" s="54" t="s">
        <v>367</v>
      </c>
      <c r="R37" s="54">
        <v>38671.0</v>
      </c>
      <c r="S37" s="13"/>
      <c r="T37" s="54" t="s">
        <v>367</v>
      </c>
      <c r="U37" s="54">
        <v>40134.0</v>
      </c>
      <c r="V37" s="13"/>
      <c r="W37" s="54" t="s">
        <v>367</v>
      </c>
      <c r="X37" s="54">
        <v>44457.0</v>
      </c>
      <c r="Y37" s="13"/>
      <c r="Z37" s="54" t="s">
        <v>367</v>
      </c>
      <c r="AA37" s="54">
        <v>35692.0</v>
      </c>
      <c r="AB37" s="13"/>
      <c r="AC37" s="54" t="s">
        <v>367</v>
      </c>
      <c r="AD37" s="54">
        <v>42227.0</v>
      </c>
      <c r="AE37" s="13"/>
      <c r="AF37" s="54" t="s">
        <v>367</v>
      </c>
      <c r="AG37" s="54">
        <v>40516.0</v>
      </c>
      <c r="AH37" s="13"/>
      <c r="AI37" s="54" t="s">
        <v>367</v>
      </c>
      <c r="AJ37" s="54">
        <v>38985.0</v>
      </c>
      <c r="AK37" s="13"/>
      <c r="AL37" s="54" t="s">
        <v>367</v>
      </c>
      <c r="AM37" s="54">
        <v>42163.0</v>
      </c>
      <c r="AN37" s="13"/>
      <c r="AO37" s="54" t="s">
        <v>367</v>
      </c>
      <c r="AP37" s="54">
        <v>36068.0</v>
      </c>
      <c r="AQ37" s="13"/>
      <c r="AR37" s="54" t="s">
        <v>367</v>
      </c>
      <c r="AS37" s="54">
        <v>37602.0</v>
      </c>
      <c r="AT37" s="13"/>
    </row>
    <row r="38">
      <c r="A38" s="13" t="s">
        <v>368</v>
      </c>
      <c r="B38" s="84">
        <f t="shared" si="1"/>
        <v>247712</v>
      </c>
      <c r="C38" s="13"/>
      <c r="D38" s="13" t="s">
        <v>113</v>
      </c>
      <c r="E38" s="84">
        <v>100775.0</v>
      </c>
      <c r="F38" s="13"/>
      <c r="G38" s="13"/>
      <c r="H38" s="13"/>
      <c r="I38" s="13"/>
      <c r="J38" s="13"/>
      <c r="K38" s="54" t="s">
        <v>368</v>
      </c>
      <c r="L38" s="54">
        <v>18519.0</v>
      </c>
      <c r="M38" s="13"/>
      <c r="N38" s="96" t="s">
        <v>368</v>
      </c>
      <c r="O38" s="97">
        <v>18500.0</v>
      </c>
      <c r="P38" s="13"/>
      <c r="Q38" s="54" t="s">
        <v>368</v>
      </c>
      <c r="R38" s="54">
        <v>19639.0</v>
      </c>
      <c r="S38" s="13"/>
      <c r="T38" s="54" t="s">
        <v>368</v>
      </c>
      <c r="U38" s="54">
        <v>21736.0</v>
      </c>
      <c r="V38" s="13"/>
      <c r="W38" s="54" t="s">
        <v>368</v>
      </c>
      <c r="X38" s="54">
        <v>20101.0</v>
      </c>
      <c r="Y38" s="13"/>
      <c r="Z38" s="54" t="s">
        <v>368</v>
      </c>
      <c r="AA38" s="54">
        <v>19451.0</v>
      </c>
      <c r="AB38" s="13"/>
      <c r="AC38" s="54" t="s">
        <v>368</v>
      </c>
      <c r="AD38" s="54">
        <v>20156.0</v>
      </c>
      <c r="AE38" s="13"/>
      <c r="AF38" s="54" t="s">
        <v>368</v>
      </c>
      <c r="AG38" s="54">
        <v>22390.0</v>
      </c>
      <c r="AH38" s="13"/>
      <c r="AI38" s="54" t="s">
        <v>368</v>
      </c>
      <c r="AJ38" s="54">
        <v>21538.0</v>
      </c>
      <c r="AK38" s="13"/>
      <c r="AL38" s="54" t="s">
        <v>368</v>
      </c>
      <c r="AM38" s="54">
        <v>21701.0</v>
      </c>
      <c r="AN38" s="13"/>
      <c r="AO38" s="54" t="s">
        <v>368</v>
      </c>
      <c r="AP38" s="54">
        <v>23727.0</v>
      </c>
      <c r="AQ38" s="13"/>
      <c r="AR38" s="54" t="s">
        <v>368</v>
      </c>
      <c r="AS38" s="54">
        <v>20254.0</v>
      </c>
      <c r="AT38" s="13"/>
    </row>
    <row r="39">
      <c r="A39" s="13" t="s">
        <v>369</v>
      </c>
      <c r="B39" s="84">
        <f t="shared" si="1"/>
        <v>435446</v>
      </c>
      <c r="C39" s="13"/>
      <c r="D39" s="13" t="s">
        <v>31</v>
      </c>
      <c r="E39" s="84">
        <v>285508.0</v>
      </c>
      <c r="F39" s="13"/>
      <c r="G39" s="13"/>
      <c r="H39" s="13"/>
      <c r="I39" s="13"/>
      <c r="J39" s="13"/>
      <c r="K39" s="54" t="s">
        <v>369</v>
      </c>
      <c r="L39" s="54">
        <v>34783.0</v>
      </c>
      <c r="M39" s="13"/>
      <c r="N39" s="96" t="s">
        <v>369</v>
      </c>
      <c r="O39" s="97">
        <v>35552.0</v>
      </c>
      <c r="P39" s="13"/>
      <c r="Q39" s="54" t="s">
        <v>369</v>
      </c>
      <c r="R39" s="54">
        <v>36448.0</v>
      </c>
      <c r="S39" s="13"/>
      <c r="T39" s="54" t="s">
        <v>369</v>
      </c>
      <c r="U39" s="54">
        <v>38104.0</v>
      </c>
      <c r="V39" s="13"/>
      <c r="W39" s="54" t="s">
        <v>369</v>
      </c>
      <c r="X39" s="54">
        <v>35095.0</v>
      </c>
      <c r="Y39" s="13"/>
      <c r="Z39" s="54" t="s">
        <v>369</v>
      </c>
      <c r="AA39" s="54">
        <v>33085.0</v>
      </c>
      <c r="AB39" s="13"/>
      <c r="AC39" s="54" t="s">
        <v>369</v>
      </c>
      <c r="AD39" s="54">
        <v>36849.0</v>
      </c>
      <c r="AE39" s="13"/>
      <c r="AF39" s="54" t="s">
        <v>369</v>
      </c>
      <c r="AG39" s="54">
        <v>37608.0</v>
      </c>
      <c r="AH39" s="13"/>
      <c r="AI39" s="54" t="s">
        <v>369</v>
      </c>
      <c r="AJ39" s="54">
        <v>37986.0</v>
      </c>
      <c r="AK39" s="13"/>
      <c r="AL39" s="54" t="s">
        <v>369</v>
      </c>
      <c r="AM39" s="54">
        <v>39792.0</v>
      </c>
      <c r="AN39" s="13"/>
      <c r="AO39" s="54" t="s">
        <v>369</v>
      </c>
      <c r="AP39" s="54">
        <v>35057.0</v>
      </c>
      <c r="AQ39" s="13"/>
      <c r="AR39" s="54" t="s">
        <v>369</v>
      </c>
      <c r="AS39" s="54">
        <v>35087.0</v>
      </c>
      <c r="AT39" s="13"/>
    </row>
    <row r="40">
      <c r="A40" s="13" t="s">
        <v>370</v>
      </c>
      <c r="B40" s="84">
        <f t="shared" si="1"/>
        <v>508580</v>
      </c>
      <c r="C40" s="13"/>
      <c r="D40" s="13" t="s">
        <v>119</v>
      </c>
      <c r="E40" s="84">
        <v>334353.0</v>
      </c>
      <c r="F40" s="13"/>
      <c r="G40" s="13"/>
      <c r="H40" s="13"/>
      <c r="I40" s="13"/>
      <c r="J40" s="13"/>
      <c r="K40" s="54" t="s">
        <v>370</v>
      </c>
      <c r="L40" s="54">
        <v>38486.0</v>
      </c>
      <c r="M40" s="13"/>
      <c r="N40" s="96" t="s">
        <v>370</v>
      </c>
      <c r="O40" s="97">
        <v>40644.0</v>
      </c>
      <c r="P40" s="13"/>
      <c r="Q40" s="54" t="s">
        <v>370</v>
      </c>
      <c r="R40" s="54">
        <v>41883.0</v>
      </c>
      <c r="S40" s="13"/>
      <c r="T40" s="54" t="s">
        <v>370</v>
      </c>
      <c r="U40" s="54">
        <v>44774.0</v>
      </c>
      <c r="V40" s="13"/>
      <c r="W40" s="54" t="s">
        <v>370</v>
      </c>
      <c r="X40" s="54">
        <v>42508.0</v>
      </c>
      <c r="Y40" s="13"/>
      <c r="Z40" s="54" t="s">
        <v>370</v>
      </c>
      <c r="AA40" s="54">
        <v>39010.0</v>
      </c>
      <c r="AB40" s="13"/>
      <c r="AC40" s="54" t="s">
        <v>370</v>
      </c>
      <c r="AD40" s="54">
        <v>41688.0</v>
      </c>
      <c r="AE40" s="13"/>
      <c r="AF40" s="54" t="s">
        <v>370</v>
      </c>
      <c r="AG40" s="54">
        <v>45900.0</v>
      </c>
      <c r="AH40" s="13"/>
      <c r="AI40" s="54" t="s">
        <v>370</v>
      </c>
      <c r="AJ40" s="54">
        <v>43447.0</v>
      </c>
      <c r="AK40" s="13"/>
      <c r="AL40" s="54" t="s">
        <v>370</v>
      </c>
      <c r="AM40" s="54">
        <v>47806.0</v>
      </c>
      <c r="AN40" s="13"/>
      <c r="AO40" s="54" t="s">
        <v>370</v>
      </c>
      <c r="AP40" s="54">
        <v>40686.0</v>
      </c>
      <c r="AQ40" s="13"/>
      <c r="AR40" s="54" t="s">
        <v>370</v>
      </c>
      <c r="AS40" s="54">
        <v>41748.0</v>
      </c>
      <c r="AT40" s="13"/>
    </row>
    <row r="41">
      <c r="A41" s="13" t="s">
        <v>371</v>
      </c>
      <c r="B41" s="84">
        <f t="shared" si="1"/>
        <v>642746</v>
      </c>
      <c r="C41" s="13"/>
      <c r="D41" s="13" t="s">
        <v>149</v>
      </c>
      <c r="E41" s="84">
        <v>484512.0</v>
      </c>
      <c r="F41" s="13"/>
      <c r="G41" s="13"/>
      <c r="H41" s="13"/>
      <c r="I41" s="13"/>
      <c r="J41" s="13"/>
      <c r="K41" s="54" t="s">
        <v>371</v>
      </c>
      <c r="L41" s="54">
        <v>52307.0</v>
      </c>
      <c r="M41" s="13"/>
      <c r="N41" s="96" t="s">
        <v>371</v>
      </c>
      <c r="O41" s="97">
        <v>53100.0</v>
      </c>
      <c r="P41" s="13"/>
      <c r="Q41" s="54" t="s">
        <v>371</v>
      </c>
      <c r="R41" s="54">
        <v>56648.0</v>
      </c>
      <c r="S41" s="13"/>
      <c r="T41" s="54" t="s">
        <v>371</v>
      </c>
      <c r="U41" s="54">
        <v>58110.0</v>
      </c>
      <c r="V41" s="13"/>
      <c r="W41" s="54" t="s">
        <v>371</v>
      </c>
      <c r="X41" s="54">
        <v>56288.0</v>
      </c>
      <c r="Y41" s="13"/>
      <c r="Z41" s="54" t="s">
        <v>371</v>
      </c>
      <c r="AA41" s="54">
        <v>50957.0</v>
      </c>
      <c r="AB41" s="13"/>
      <c r="AC41" s="54" t="s">
        <v>371</v>
      </c>
      <c r="AD41" s="54">
        <v>49849.0</v>
      </c>
      <c r="AE41" s="13"/>
      <c r="AF41" s="54" t="s">
        <v>371</v>
      </c>
      <c r="AG41" s="54">
        <v>53150.0</v>
      </c>
      <c r="AH41" s="13"/>
      <c r="AI41" s="54" t="s">
        <v>371</v>
      </c>
      <c r="AJ41" s="54">
        <v>53170.0</v>
      </c>
      <c r="AK41" s="13"/>
      <c r="AL41" s="54" t="s">
        <v>371</v>
      </c>
      <c r="AM41" s="54">
        <v>56243.0</v>
      </c>
      <c r="AN41" s="13"/>
      <c r="AO41" s="54" t="s">
        <v>371</v>
      </c>
      <c r="AP41" s="54">
        <v>50392.0</v>
      </c>
      <c r="AQ41" s="13"/>
      <c r="AR41" s="54" t="s">
        <v>371</v>
      </c>
      <c r="AS41" s="54">
        <v>52532.0</v>
      </c>
      <c r="AT41" s="13"/>
    </row>
    <row r="42">
      <c r="A42" s="13" t="s">
        <v>372</v>
      </c>
      <c r="B42" s="84">
        <f t="shared" si="1"/>
        <v>1405270</v>
      </c>
      <c r="C42" s="13"/>
      <c r="D42" s="13" t="s">
        <v>83</v>
      </c>
      <c r="E42" s="84">
        <v>766945.0</v>
      </c>
      <c r="F42" s="13"/>
      <c r="G42" s="13"/>
      <c r="H42" s="13"/>
      <c r="I42" s="13"/>
      <c r="J42" s="13"/>
      <c r="K42" s="54" t="s">
        <v>372</v>
      </c>
      <c r="L42" s="54">
        <v>111186.0</v>
      </c>
      <c r="M42" s="13"/>
      <c r="N42" s="96" t="s">
        <v>372</v>
      </c>
      <c r="O42" s="97">
        <v>114268.0</v>
      </c>
      <c r="P42" s="13"/>
      <c r="Q42" s="54" t="s">
        <v>372</v>
      </c>
      <c r="R42" s="54">
        <v>119021.0</v>
      </c>
      <c r="S42" s="13"/>
      <c r="T42" s="54" t="s">
        <v>372</v>
      </c>
      <c r="U42" s="54">
        <v>126706.0</v>
      </c>
      <c r="V42" s="13"/>
      <c r="W42" s="54" t="s">
        <v>372</v>
      </c>
      <c r="X42" s="54">
        <v>123067.0</v>
      </c>
      <c r="Y42" s="13"/>
      <c r="Z42" s="54" t="s">
        <v>372</v>
      </c>
      <c r="AA42" s="54">
        <v>110502.0</v>
      </c>
      <c r="AB42" s="13"/>
      <c r="AC42" s="54" t="s">
        <v>372</v>
      </c>
      <c r="AD42" s="54">
        <v>112142.0</v>
      </c>
      <c r="AE42" s="13"/>
      <c r="AF42" s="54" t="s">
        <v>372</v>
      </c>
      <c r="AG42" s="54">
        <v>118296.0</v>
      </c>
      <c r="AH42" s="13"/>
      <c r="AI42" s="54" t="s">
        <v>372</v>
      </c>
      <c r="AJ42" s="54">
        <v>118808.0</v>
      </c>
      <c r="AK42" s="13"/>
      <c r="AL42" s="54" t="s">
        <v>372</v>
      </c>
      <c r="AM42" s="54">
        <v>124399.0</v>
      </c>
      <c r="AN42" s="13"/>
      <c r="AO42" s="54" t="s">
        <v>372</v>
      </c>
      <c r="AP42" s="54">
        <v>113634.0</v>
      </c>
      <c r="AQ42" s="13"/>
      <c r="AR42" s="54" t="s">
        <v>372</v>
      </c>
      <c r="AS42" s="54">
        <v>113241.0</v>
      </c>
      <c r="AT42" s="13"/>
    </row>
    <row r="43">
      <c r="A43" s="13" t="s">
        <v>373</v>
      </c>
      <c r="B43" s="84">
        <f t="shared" si="1"/>
        <v>602210</v>
      </c>
      <c r="C43" s="13"/>
      <c r="D43" s="13" t="s">
        <v>217</v>
      </c>
      <c r="E43" s="84">
        <v>51754.0</v>
      </c>
      <c r="F43" s="13"/>
      <c r="G43" s="13"/>
      <c r="H43" s="13"/>
      <c r="I43" s="13"/>
      <c r="J43" s="13"/>
      <c r="K43" s="54" t="s">
        <v>373</v>
      </c>
      <c r="L43" s="54">
        <v>46572.0</v>
      </c>
      <c r="M43" s="13"/>
      <c r="N43" s="96" t="s">
        <v>373</v>
      </c>
      <c r="O43" s="97">
        <v>48564.0</v>
      </c>
      <c r="P43" s="13"/>
      <c r="Q43" s="54" t="s">
        <v>373</v>
      </c>
      <c r="R43" s="54">
        <v>50762.0</v>
      </c>
      <c r="S43" s="13"/>
      <c r="T43" s="54" t="s">
        <v>373</v>
      </c>
      <c r="U43" s="54">
        <v>52944.0</v>
      </c>
      <c r="V43" s="13"/>
      <c r="W43" s="54" t="s">
        <v>373</v>
      </c>
      <c r="X43" s="54">
        <v>52391.0</v>
      </c>
      <c r="Y43" s="13"/>
      <c r="Z43" s="54" t="s">
        <v>373</v>
      </c>
      <c r="AA43" s="54">
        <v>46706.0</v>
      </c>
      <c r="AB43" s="13"/>
      <c r="AC43" s="54" t="s">
        <v>373</v>
      </c>
      <c r="AD43" s="54">
        <v>49295.0</v>
      </c>
      <c r="AE43" s="13"/>
      <c r="AF43" s="54" t="s">
        <v>373</v>
      </c>
      <c r="AG43" s="54">
        <v>50407.0</v>
      </c>
      <c r="AH43" s="13"/>
      <c r="AI43" s="54" t="s">
        <v>373</v>
      </c>
      <c r="AJ43" s="54">
        <v>51116.0</v>
      </c>
      <c r="AK43" s="13"/>
      <c r="AL43" s="54" t="s">
        <v>373</v>
      </c>
      <c r="AM43" s="54">
        <v>54352.0</v>
      </c>
      <c r="AN43" s="13"/>
      <c r="AO43" s="54" t="s">
        <v>373</v>
      </c>
      <c r="AP43" s="54">
        <v>49474.0</v>
      </c>
      <c r="AQ43" s="13"/>
      <c r="AR43" s="54" t="s">
        <v>373</v>
      </c>
      <c r="AS43" s="54">
        <v>49627.0</v>
      </c>
      <c r="AT43" s="13"/>
    </row>
    <row r="44">
      <c r="A44" s="13" t="s">
        <v>374</v>
      </c>
      <c r="B44" s="84">
        <f t="shared" si="1"/>
        <v>484512</v>
      </c>
      <c r="C44" s="13"/>
      <c r="D44" s="13" t="s">
        <v>57</v>
      </c>
      <c r="E44" s="84">
        <v>678510.0</v>
      </c>
      <c r="F44" s="13"/>
      <c r="G44" s="13"/>
      <c r="H44" s="13"/>
      <c r="I44" s="13"/>
      <c r="J44" s="13"/>
      <c r="K44" s="54" t="s">
        <v>374</v>
      </c>
      <c r="L44" s="54">
        <v>39518.0</v>
      </c>
      <c r="M44" s="13"/>
      <c r="N44" s="96" t="s">
        <v>374</v>
      </c>
      <c r="O44" s="97">
        <v>40844.0</v>
      </c>
      <c r="P44" s="13"/>
      <c r="Q44" s="54" t="s">
        <v>374</v>
      </c>
      <c r="R44" s="54">
        <v>42681.0</v>
      </c>
      <c r="S44" s="13"/>
      <c r="T44" s="54" t="s">
        <v>374</v>
      </c>
      <c r="U44" s="54">
        <v>41240.0</v>
      </c>
      <c r="V44" s="13"/>
      <c r="W44" s="54" t="s">
        <v>374</v>
      </c>
      <c r="X44" s="54">
        <v>42431.0</v>
      </c>
      <c r="Y44" s="13"/>
      <c r="Z44" s="54" t="s">
        <v>374</v>
      </c>
      <c r="AA44" s="54">
        <v>36855.0</v>
      </c>
      <c r="AB44" s="13"/>
      <c r="AC44" s="54" t="s">
        <v>374</v>
      </c>
      <c r="AD44" s="54">
        <v>37373.0</v>
      </c>
      <c r="AE44" s="13"/>
      <c r="AF44" s="54" t="s">
        <v>374</v>
      </c>
      <c r="AG44" s="54">
        <v>41320.0</v>
      </c>
      <c r="AH44" s="13"/>
      <c r="AI44" s="54" t="s">
        <v>374</v>
      </c>
      <c r="AJ44" s="54">
        <v>40980.0</v>
      </c>
      <c r="AK44" s="13"/>
      <c r="AL44" s="54" t="s">
        <v>374</v>
      </c>
      <c r="AM44" s="54">
        <v>43459.0</v>
      </c>
      <c r="AN44" s="13"/>
      <c r="AO44" s="54" t="s">
        <v>374</v>
      </c>
      <c r="AP44" s="54">
        <v>38713.0</v>
      </c>
      <c r="AQ44" s="13"/>
      <c r="AR44" s="54" t="s">
        <v>374</v>
      </c>
      <c r="AS44" s="54">
        <v>39098.0</v>
      </c>
      <c r="AT44" s="13"/>
    </row>
    <row r="45">
      <c r="A45" s="13" t="s">
        <v>375</v>
      </c>
      <c r="B45" s="84">
        <f t="shared" si="1"/>
        <v>766945</v>
      </c>
      <c r="C45" s="13"/>
      <c r="D45" s="13" t="s">
        <v>201</v>
      </c>
      <c r="E45" s="84">
        <v>583696.0</v>
      </c>
      <c r="F45" s="13"/>
      <c r="G45" s="13"/>
      <c r="H45" s="13"/>
      <c r="I45" s="13"/>
      <c r="J45" s="13"/>
      <c r="K45" s="54" t="s">
        <v>375</v>
      </c>
      <c r="L45" s="54">
        <v>61816.0</v>
      </c>
      <c r="M45" s="13"/>
      <c r="N45" s="96" t="s">
        <v>375</v>
      </c>
      <c r="O45" s="97">
        <v>62588.0</v>
      </c>
      <c r="P45" s="13"/>
      <c r="Q45" s="54" t="s">
        <v>375</v>
      </c>
      <c r="R45" s="54">
        <v>65459.0</v>
      </c>
      <c r="S45" s="13"/>
      <c r="T45" s="54" t="s">
        <v>375</v>
      </c>
      <c r="U45" s="54">
        <v>68408.0</v>
      </c>
      <c r="V45" s="13"/>
      <c r="W45" s="54" t="s">
        <v>375</v>
      </c>
      <c r="X45" s="54">
        <v>69059.0</v>
      </c>
      <c r="Y45" s="13"/>
      <c r="Z45" s="54" t="s">
        <v>375</v>
      </c>
      <c r="AA45" s="54">
        <v>56967.0</v>
      </c>
      <c r="AB45" s="13"/>
      <c r="AC45" s="54" t="s">
        <v>375</v>
      </c>
      <c r="AD45" s="54">
        <v>59964.0</v>
      </c>
      <c r="AE45" s="13"/>
      <c r="AF45" s="54" t="s">
        <v>375</v>
      </c>
      <c r="AG45" s="54">
        <v>64789.0</v>
      </c>
      <c r="AH45" s="13"/>
      <c r="AI45" s="54" t="s">
        <v>375</v>
      </c>
      <c r="AJ45" s="54">
        <v>65622.0</v>
      </c>
      <c r="AK45" s="13"/>
      <c r="AL45" s="54" t="s">
        <v>375</v>
      </c>
      <c r="AM45" s="54">
        <v>69827.0</v>
      </c>
      <c r="AN45" s="13"/>
      <c r="AO45" s="54" t="s">
        <v>375</v>
      </c>
      <c r="AP45" s="54">
        <v>61661.0</v>
      </c>
      <c r="AQ45" s="13"/>
      <c r="AR45" s="54" t="s">
        <v>375</v>
      </c>
      <c r="AS45" s="54">
        <v>60785.0</v>
      </c>
      <c r="AT45" s="13"/>
    </row>
    <row r="46">
      <c r="A46" s="13" t="s">
        <v>376</v>
      </c>
      <c r="B46" s="84">
        <f t="shared" si="1"/>
        <v>420929</v>
      </c>
      <c r="C46" s="13"/>
      <c r="D46" s="13" t="s">
        <v>91</v>
      </c>
      <c r="E46" s="84">
        <v>596387.0</v>
      </c>
      <c r="F46" s="13"/>
      <c r="G46" s="13"/>
      <c r="H46" s="13"/>
      <c r="I46" s="13"/>
      <c r="J46" s="13"/>
      <c r="K46" s="54" t="s">
        <v>376</v>
      </c>
      <c r="L46" s="54">
        <v>33247.0</v>
      </c>
      <c r="M46" s="13"/>
      <c r="N46" s="96" t="s">
        <v>376</v>
      </c>
      <c r="O46" s="97">
        <v>35356.0</v>
      </c>
      <c r="P46" s="13"/>
      <c r="Q46" s="54" t="s">
        <v>376</v>
      </c>
      <c r="R46" s="54">
        <v>36334.0</v>
      </c>
      <c r="S46" s="13"/>
      <c r="T46" s="54" t="s">
        <v>376</v>
      </c>
      <c r="U46" s="54">
        <v>37428.0</v>
      </c>
      <c r="V46" s="13"/>
      <c r="W46" s="54" t="s">
        <v>376</v>
      </c>
      <c r="X46" s="54">
        <v>36915.0</v>
      </c>
      <c r="Y46" s="13"/>
      <c r="Z46" s="54" t="s">
        <v>376</v>
      </c>
      <c r="AA46" s="54">
        <v>32221.0</v>
      </c>
      <c r="AB46" s="13"/>
      <c r="AC46" s="54" t="s">
        <v>376</v>
      </c>
      <c r="AD46" s="54">
        <v>32662.0</v>
      </c>
      <c r="AE46" s="13"/>
      <c r="AF46" s="54" t="s">
        <v>376</v>
      </c>
      <c r="AG46" s="54">
        <v>35062.0</v>
      </c>
      <c r="AH46" s="13"/>
      <c r="AI46" s="54" t="s">
        <v>376</v>
      </c>
      <c r="AJ46" s="54">
        <v>35849.0</v>
      </c>
      <c r="AK46" s="13"/>
      <c r="AL46" s="54" t="s">
        <v>376</v>
      </c>
      <c r="AM46" s="54">
        <v>37354.0</v>
      </c>
      <c r="AN46" s="13"/>
      <c r="AO46" s="54" t="s">
        <v>376</v>
      </c>
      <c r="AP46" s="54">
        <v>33908.0</v>
      </c>
      <c r="AQ46" s="13"/>
      <c r="AR46" s="54" t="s">
        <v>376</v>
      </c>
      <c r="AS46" s="54">
        <v>34593.0</v>
      </c>
      <c r="AT46" s="13"/>
    </row>
    <row r="47">
      <c r="A47" s="13" t="s">
        <v>377</v>
      </c>
      <c r="B47" s="84">
        <f t="shared" si="1"/>
        <v>536723</v>
      </c>
      <c r="C47" s="13"/>
      <c r="D47" s="13" t="s">
        <v>59</v>
      </c>
      <c r="E47" s="84">
        <v>437613.0</v>
      </c>
      <c r="F47" s="13"/>
      <c r="G47" s="13"/>
      <c r="H47" s="13"/>
      <c r="I47" s="13"/>
      <c r="J47" s="13"/>
      <c r="K47" s="54" t="s">
        <v>377</v>
      </c>
      <c r="L47" s="54">
        <v>43000.0</v>
      </c>
      <c r="M47" s="13"/>
      <c r="N47" s="96" t="s">
        <v>377</v>
      </c>
      <c r="O47" s="97">
        <v>44664.0</v>
      </c>
      <c r="P47" s="13"/>
      <c r="Q47" s="54" t="s">
        <v>377</v>
      </c>
      <c r="R47" s="54">
        <v>46375.0</v>
      </c>
      <c r="S47" s="13"/>
      <c r="T47" s="54" t="s">
        <v>377</v>
      </c>
      <c r="U47" s="54">
        <v>48788.0</v>
      </c>
      <c r="V47" s="13"/>
      <c r="W47" s="54" t="s">
        <v>377</v>
      </c>
      <c r="X47" s="54">
        <v>48674.0</v>
      </c>
      <c r="Y47" s="13"/>
      <c r="Z47" s="54" t="s">
        <v>377</v>
      </c>
      <c r="AA47" s="54">
        <v>39427.0</v>
      </c>
      <c r="AB47" s="13"/>
      <c r="AC47" s="54" t="s">
        <v>377</v>
      </c>
      <c r="AD47" s="54">
        <v>41390.0</v>
      </c>
      <c r="AE47" s="13"/>
      <c r="AF47" s="54" t="s">
        <v>377</v>
      </c>
      <c r="AG47" s="54">
        <v>44320.0</v>
      </c>
      <c r="AH47" s="13"/>
      <c r="AI47" s="54" t="s">
        <v>377</v>
      </c>
      <c r="AJ47" s="54">
        <v>44823.0</v>
      </c>
      <c r="AK47" s="13"/>
      <c r="AL47" s="54" t="s">
        <v>377</v>
      </c>
      <c r="AM47" s="54">
        <v>48263.0</v>
      </c>
      <c r="AN47" s="13"/>
      <c r="AO47" s="54" t="s">
        <v>377</v>
      </c>
      <c r="AP47" s="54">
        <v>43666.0</v>
      </c>
      <c r="AQ47" s="13"/>
      <c r="AR47" s="54" t="s">
        <v>377</v>
      </c>
      <c r="AS47" s="54">
        <v>43333.0</v>
      </c>
      <c r="AT47" s="13"/>
    </row>
    <row r="48">
      <c r="A48" s="13" t="s">
        <v>378</v>
      </c>
      <c r="B48" s="84">
        <f t="shared" si="1"/>
        <v>310851</v>
      </c>
      <c r="C48" s="13"/>
      <c r="D48" s="13" t="s">
        <v>129</v>
      </c>
      <c r="E48" s="84">
        <v>151867.0</v>
      </c>
      <c r="F48" s="13"/>
      <c r="G48" s="13"/>
      <c r="H48" s="13"/>
      <c r="I48" s="13"/>
      <c r="J48" s="13"/>
      <c r="K48" s="54" t="s">
        <v>378</v>
      </c>
      <c r="L48" s="54">
        <v>24387.0</v>
      </c>
      <c r="M48" s="13"/>
      <c r="N48" s="96" t="s">
        <v>378</v>
      </c>
      <c r="O48" s="97">
        <v>25504.0</v>
      </c>
      <c r="P48" s="13"/>
      <c r="Q48" s="54" t="s">
        <v>378</v>
      </c>
      <c r="R48" s="54">
        <v>25916.0</v>
      </c>
      <c r="S48" s="13"/>
      <c r="T48" s="54" t="s">
        <v>378</v>
      </c>
      <c r="U48" s="54">
        <v>28618.0</v>
      </c>
      <c r="V48" s="13"/>
      <c r="W48" s="54" t="s">
        <v>378</v>
      </c>
      <c r="X48" s="54">
        <v>27678.0</v>
      </c>
      <c r="Y48" s="13"/>
      <c r="Z48" s="54" t="s">
        <v>378</v>
      </c>
      <c r="AA48" s="54">
        <v>23607.0</v>
      </c>
      <c r="AB48" s="13"/>
      <c r="AC48" s="54" t="s">
        <v>378</v>
      </c>
      <c r="AD48" s="54">
        <v>24758.0</v>
      </c>
      <c r="AE48" s="13"/>
      <c r="AF48" s="54" t="s">
        <v>378</v>
      </c>
      <c r="AG48" s="54">
        <v>26362.0</v>
      </c>
      <c r="AH48" s="13"/>
      <c r="AI48" s="54" t="s">
        <v>378</v>
      </c>
      <c r="AJ48" s="54">
        <v>26081.0</v>
      </c>
      <c r="AK48" s="13"/>
      <c r="AL48" s="54" t="s">
        <v>378</v>
      </c>
      <c r="AM48" s="54">
        <v>27758.0</v>
      </c>
      <c r="AN48" s="13"/>
      <c r="AO48" s="54" t="s">
        <v>378</v>
      </c>
      <c r="AP48" s="54">
        <v>24950.0</v>
      </c>
      <c r="AQ48" s="13"/>
      <c r="AR48" s="54" t="s">
        <v>378</v>
      </c>
      <c r="AS48" s="54">
        <v>25232.0</v>
      </c>
      <c r="AT48" s="13"/>
    </row>
    <row r="49">
      <c r="A49" s="13" t="s">
        <v>379</v>
      </c>
      <c r="B49" s="84">
        <f t="shared" si="1"/>
        <v>479903</v>
      </c>
      <c r="C49" s="13"/>
      <c r="D49" s="13" t="s">
        <v>137</v>
      </c>
      <c r="E49" s="84">
        <v>492460.0</v>
      </c>
      <c r="F49" s="13"/>
      <c r="G49" s="13"/>
      <c r="H49" s="13"/>
      <c r="I49" s="13"/>
      <c r="J49" s="13"/>
      <c r="K49" s="54" t="s">
        <v>379</v>
      </c>
      <c r="L49" s="54">
        <v>39607.0</v>
      </c>
      <c r="M49" s="13"/>
      <c r="N49" s="96" t="s">
        <v>379</v>
      </c>
      <c r="O49" s="97">
        <v>39696.0</v>
      </c>
      <c r="P49" s="13"/>
      <c r="Q49" s="54" t="s">
        <v>379</v>
      </c>
      <c r="R49" s="54">
        <v>42495.0</v>
      </c>
      <c r="S49" s="13"/>
      <c r="T49" s="54" t="s">
        <v>379</v>
      </c>
      <c r="U49" s="54">
        <v>43020.0</v>
      </c>
      <c r="V49" s="13"/>
      <c r="W49" s="54" t="s">
        <v>379</v>
      </c>
      <c r="X49" s="54">
        <v>41439.0</v>
      </c>
      <c r="Y49" s="13"/>
      <c r="Z49" s="54" t="s">
        <v>379</v>
      </c>
      <c r="AA49" s="54">
        <v>35154.0</v>
      </c>
      <c r="AB49" s="13"/>
      <c r="AC49" s="54" t="s">
        <v>379</v>
      </c>
      <c r="AD49" s="54">
        <v>37222.0</v>
      </c>
      <c r="AE49" s="13"/>
      <c r="AF49" s="54" t="s">
        <v>379</v>
      </c>
      <c r="AG49" s="54">
        <v>39101.0</v>
      </c>
      <c r="AH49" s="13"/>
      <c r="AI49" s="54" t="s">
        <v>379</v>
      </c>
      <c r="AJ49" s="54">
        <v>39622.0</v>
      </c>
      <c r="AK49" s="13"/>
      <c r="AL49" s="54" t="s">
        <v>379</v>
      </c>
      <c r="AM49" s="54">
        <v>42240.0</v>
      </c>
      <c r="AN49" s="13"/>
      <c r="AO49" s="54" t="s">
        <v>379</v>
      </c>
      <c r="AP49" s="54">
        <v>39064.0</v>
      </c>
      <c r="AQ49" s="13"/>
      <c r="AR49" s="54" t="s">
        <v>379</v>
      </c>
      <c r="AS49" s="54">
        <v>41243.0</v>
      </c>
      <c r="AT49" s="13"/>
    </row>
    <row r="50">
      <c r="A50" s="13" t="s">
        <v>380</v>
      </c>
      <c r="B50" s="84">
        <f t="shared" si="1"/>
        <v>678510</v>
      </c>
      <c r="C50" s="13"/>
      <c r="D50" s="13" t="s">
        <v>205</v>
      </c>
      <c r="E50" s="84">
        <v>596425.0</v>
      </c>
      <c r="F50" s="13"/>
      <c r="G50" s="13"/>
      <c r="H50" s="13"/>
      <c r="I50" s="13"/>
      <c r="J50" s="13"/>
      <c r="K50" s="54" t="s">
        <v>380</v>
      </c>
      <c r="L50" s="54">
        <v>49597.0</v>
      </c>
      <c r="M50" s="13"/>
      <c r="N50" s="96" t="s">
        <v>380</v>
      </c>
      <c r="O50" s="97">
        <v>54792.0</v>
      </c>
      <c r="P50" s="13"/>
      <c r="Q50" s="54" t="s">
        <v>380</v>
      </c>
      <c r="R50" s="54">
        <v>59309.0</v>
      </c>
      <c r="S50" s="13"/>
      <c r="T50" s="54" t="s">
        <v>380</v>
      </c>
      <c r="U50" s="54">
        <v>58962.0</v>
      </c>
      <c r="V50" s="13"/>
      <c r="W50" s="54" t="s">
        <v>380</v>
      </c>
      <c r="X50" s="54">
        <v>60711.0</v>
      </c>
      <c r="Y50" s="13"/>
      <c r="Z50" s="54" t="s">
        <v>380</v>
      </c>
      <c r="AA50" s="54">
        <v>49739.0</v>
      </c>
      <c r="AB50" s="13"/>
      <c r="AC50" s="54" t="s">
        <v>380</v>
      </c>
      <c r="AD50" s="54">
        <v>50787.0</v>
      </c>
      <c r="AE50" s="13"/>
      <c r="AF50" s="54" t="s">
        <v>380</v>
      </c>
      <c r="AG50" s="54">
        <v>53579.0</v>
      </c>
      <c r="AH50" s="13"/>
      <c r="AI50" s="54" t="s">
        <v>380</v>
      </c>
      <c r="AJ50" s="54">
        <v>62980.0</v>
      </c>
      <c r="AK50" s="13"/>
      <c r="AL50" s="54" t="s">
        <v>380</v>
      </c>
      <c r="AM50" s="54">
        <v>65772.0</v>
      </c>
      <c r="AN50" s="13"/>
      <c r="AO50" s="54" t="s">
        <v>380</v>
      </c>
      <c r="AP50" s="54">
        <v>56714.0</v>
      </c>
      <c r="AQ50" s="13"/>
      <c r="AR50" s="54" t="s">
        <v>380</v>
      </c>
      <c r="AS50" s="54">
        <v>55568.0</v>
      </c>
      <c r="AT50" s="13"/>
    </row>
    <row r="51">
      <c r="A51" s="13" t="s">
        <v>381</v>
      </c>
      <c r="B51" s="84">
        <f t="shared" si="1"/>
        <v>970567</v>
      </c>
      <c r="C51" s="13"/>
      <c r="D51" s="13" t="s">
        <v>223</v>
      </c>
      <c r="E51" s="84">
        <v>1283065.0</v>
      </c>
      <c r="F51" s="13"/>
      <c r="G51" s="13"/>
      <c r="H51" s="13"/>
      <c r="I51" s="13"/>
      <c r="J51" s="13"/>
      <c r="K51" s="54" t="s">
        <v>381</v>
      </c>
      <c r="L51" s="54">
        <v>70381.0</v>
      </c>
      <c r="M51" s="13"/>
      <c r="N51" s="96" t="s">
        <v>381</v>
      </c>
      <c r="O51" s="97">
        <v>79180.0</v>
      </c>
      <c r="P51" s="13"/>
      <c r="Q51" s="54" t="s">
        <v>381</v>
      </c>
      <c r="R51" s="54">
        <v>84186.0</v>
      </c>
      <c r="S51" s="13"/>
      <c r="T51" s="54" t="s">
        <v>381</v>
      </c>
      <c r="U51" s="54">
        <v>83838.0</v>
      </c>
      <c r="V51" s="13"/>
      <c r="W51" s="54" t="s">
        <v>381</v>
      </c>
      <c r="X51" s="54">
        <v>82864.0</v>
      </c>
      <c r="Y51" s="13"/>
      <c r="Z51" s="54" t="s">
        <v>381</v>
      </c>
      <c r="AA51" s="54">
        <v>74291.0</v>
      </c>
      <c r="AB51" s="13"/>
      <c r="AC51" s="54" t="s">
        <v>381</v>
      </c>
      <c r="AD51" s="54">
        <v>84434.0</v>
      </c>
      <c r="AE51" s="13"/>
      <c r="AF51" s="54" t="s">
        <v>381</v>
      </c>
      <c r="AG51" s="54">
        <v>81018.0</v>
      </c>
      <c r="AH51" s="13"/>
      <c r="AI51" s="54" t="s">
        <v>381</v>
      </c>
      <c r="AJ51" s="54">
        <v>81768.0</v>
      </c>
      <c r="AK51" s="13"/>
      <c r="AL51" s="54" t="s">
        <v>381</v>
      </c>
      <c r="AM51" s="54">
        <v>88032.0</v>
      </c>
      <c r="AN51" s="13"/>
      <c r="AO51" s="54" t="s">
        <v>381</v>
      </c>
      <c r="AP51" s="54">
        <v>83628.0</v>
      </c>
      <c r="AQ51" s="13"/>
      <c r="AR51" s="54" t="s">
        <v>381</v>
      </c>
      <c r="AS51" s="54">
        <v>76947.0</v>
      </c>
      <c r="AT51" s="13"/>
    </row>
    <row r="52">
      <c r="A52" s="13" t="s">
        <v>382</v>
      </c>
      <c r="B52" s="84">
        <f t="shared" si="1"/>
        <v>2022783</v>
      </c>
      <c r="C52" s="13"/>
      <c r="D52" s="13" t="s">
        <v>203</v>
      </c>
      <c r="E52" s="84">
        <v>916669.0</v>
      </c>
      <c r="F52" s="13"/>
      <c r="G52" s="13"/>
      <c r="H52" s="13"/>
      <c r="I52" s="13"/>
      <c r="J52" s="13"/>
      <c r="K52" s="54" t="s">
        <v>382</v>
      </c>
      <c r="L52" s="54">
        <v>153097.0</v>
      </c>
      <c r="M52" s="13"/>
      <c r="N52" s="96" t="s">
        <v>382</v>
      </c>
      <c r="O52" s="97">
        <v>159488.0</v>
      </c>
      <c r="P52" s="13"/>
      <c r="Q52" s="54" t="s">
        <v>382</v>
      </c>
      <c r="R52" s="54">
        <v>180622.0</v>
      </c>
      <c r="S52" s="13"/>
      <c r="T52" s="54" t="s">
        <v>382</v>
      </c>
      <c r="U52" s="54">
        <v>181848.0</v>
      </c>
      <c r="V52" s="13"/>
      <c r="W52" s="54" t="s">
        <v>382</v>
      </c>
      <c r="X52" s="54">
        <v>177183.0</v>
      </c>
      <c r="Y52" s="13"/>
      <c r="Z52" s="54" t="s">
        <v>382</v>
      </c>
      <c r="AA52" s="54">
        <v>158487.0</v>
      </c>
      <c r="AB52" s="13"/>
      <c r="AC52" s="54" t="s">
        <v>382</v>
      </c>
      <c r="AD52" s="54">
        <v>162305.0</v>
      </c>
      <c r="AE52" s="13"/>
      <c r="AF52" s="54" t="s">
        <v>382</v>
      </c>
      <c r="AG52" s="54">
        <v>167772.0</v>
      </c>
      <c r="AH52" s="13"/>
      <c r="AI52" s="54" t="s">
        <v>382</v>
      </c>
      <c r="AJ52" s="54">
        <v>170787.0</v>
      </c>
      <c r="AK52" s="13"/>
      <c r="AL52" s="54" t="s">
        <v>382</v>
      </c>
      <c r="AM52" s="54">
        <v>181397.0</v>
      </c>
      <c r="AN52" s="13"/>
      <c r="AO52" s="54" t="s">
        <v>382</v>
      </c>
      <c r="AP52" s="54">
        <v>166756.0</v>
      </c>
      <c r="AQ52" s="13"/>
      <c r="AR52" s="54" t="s">
        <v>382</v>
      </c>
      <c r="AS52" s="54">
        <v>163041.0</v>
      </c>
      <c r="AT52" s="13"/>
    </row>
    <row r="53">
      <c r="A53" s="13" t="s">
        <v>383</v>
      </c>
      <c r="B53" s="84">
        <f t="shared" si="1"/>
        <v>296244</v>
      </c>
      <c r="C53" s="13"/>
      <c r="D53" s="13" t="s">
        <v>219</v>
      </c>
      <c r="E53" s="84">
        <v>823932.0</v>
      </c>
      <c r="F53" s="13"/>
      <c r="G53" s="13"/>
      <c r="H53" s="13"/>
      <c r="I53" s="13"/>
      <c r="J53" s="13"/>
      <c r="K53" s="54" t="s">
        <v>383</v>
      </c>
      <c r="L53" s="54">
        <v>18699.0</v>
      </c>
      <c r="M53" s="13"/>
      <c r="N53" s="96" t="s">
        <v>383</v>
      </c>
      <c r="O53" s="97">
        <v>21864.0</v>
      </c>
      <c r="P53" s="13"/>
      <c r="Q53" s="54" t="s">
        <v>383</v>
      </c>
      <c r="R53" s="54">
        <v>24705.0</v>
      </c>
      <c r="S53" s="13"/>
      <c r="T53" s="54" t="s">
        <v>383</v>
      </c>
      <c r="U53" s="54">
        <v>25100.0</v>
      </c>
      <c r="V53" s="13"/>
      <c r="W53" s="54" t="s">
        <v>383</v>
      </c>
      <c r="X53" s="54">
        <v>26195.0</v>
      </c>
      <c r="Y53" s="13"/>
      <c r="Z53" s="54" t="s">
        <v>383</v>
      </c>
      <c r="AA53" s="54">
        <v>23370.0</v>
      </c>
      <c r="AB53" s="13"/>
      <c r="AC53" s="54" t="s">
        <v>383</v>
      </c>
      <c r="AD53" s="54">
        <v>25236.0</v>
      </c>
      <c r="AE53" s="13"/>
      <c r="AF53" s="54" t="s">
        <v>383</v>
      </c>
      <c r="AG53" s="54">
        <v>25354.0</v>
      </c>
      <c r="AH53" s="13"/>
      <c r="AI53" s="54" t="s">
        <v>383</v>
      </c>
      <c r="AJ53" s="54">
        <v>25848.0</v>
      </c>
      <c r="AK53" s="13"/>
      <c r="AL53" s="54" t="s">
        <v>383</v>
      </c>
      <c r="AM53" s="54">
        <v>28042.0</v>
      </c>
      <c r="AN53" s="13"/>
      <c r="AO53" s="54" t="s">
        <v>383</v>
      </c>
      <c r="AP53" s="54">
        <v>27106.0</v>
      </c>
      <c r="AQ53" s="13"/>
      <c r="AR53" s="54" t="s">
        <v>383</v>
      </c>
      <c r="AS53" s="54">
        <v>24725.0</v>
      </c>
      <c r="AT53" s="13"/>
    </row>
    <row r="54">
      <c r="A54" s="13" t="s">
        <v>384</v>
      </c>
      <c r="B54" s="84">
        <f t="shared" si="1"/>
        <v>286295</v>
      </c>
      <c r="C54" s="13"/>
      <c r="D54" s="13" t="s">
        <v>133</v>
      </c>
      <c r="E54" s="84">
        <v>151375.0</v>
      </c>
      <c r="F54" s="13"/>
      <c r="G54" s="13"/>
      <c r="H54" s="13"/>
      <c r="I54" s="13"/>
      <c r="J54" s="13"/>
      <c r="K54" s="54" t="s">
        <v>384</v>
      </c>
      <c r="L54" s="54">
        <v>19092.0</v>
      </c>
      <c r="M54" s="13"/>
      <c r="N54" s="96" t="s">
        <v>384</v>
      </c>
      <c r="O54" s="97">
        <v>20644.0</v>
      </c>
      <c r="P54" s="13"/>
      <c r="Q54" s="54" t="s">
        <v>384</v>
      </c>
      <c r="R54" s="54">
        <v>24146.0</v>
      </c>
      <c r="S54" s="13"/>
      <c r="T54" s="54" t="s">
        <v>384</v>
      </c>
      <c r="U54" s="54">
        <v>27166.0</v>
      </c>
      <c r="V54" s="13"/>
      <c r="W54" s="54" t="s">
        <v>384</v>
      </c>
      <c r="X54" s="54">
        <v>23731.0</v>
      </c>
      <c r="Y54" s="13"/>
      <c r="Z54" s="54" t="s">
        <v>384</v>
      </c>
      <c r="AA54" s="54">
        <v>24311.0</v>
      </c>
      <c r="AB54" s="13"/>
      <c r="AC54" s="54" t="s">
        <v>384</v>
      </c>
      <c r="AD54" s="54">
        <v>23738.0</v>
      </c>
      <c r="AE54" s="13"/>
      <c r="AF54" s="54" t="s">
        <v>384</v>
      </c>
      <c r="AG54" s="54">
        <v>24666.0</v>
      </c>
      <c r="AH54" s="13"/>
      <c r="AI54" s="54" t="s">
        <v>384</v>
      </c>
      <c r="AJ54" s="54">
        <v>23226.0</v>
      </c>
      <c r="AK54" s="13"/>
      <c r="AL54" s="54" t="s">
        <v>384</v>
      </c>
      <c r="AM54" s="54">
        <v>26544.0</v>
      </c>
      <c r="AN54" s="13"/>
      <c r="AO54" s="54" t="s">
        <v>384</v>
      </c>
      <c r="AP54" s="54">
        <v>25247.0</v>
      </c>
      <c r="AQ54" s="13"/>
      <c r="AR54" s="54" t="s">
        <v>384</v>
      </c>
      <c r="AS54" s="54">
        <v>23784.0</v>
      </c>
      <c r="AT54" s="13"/>
    </row>
    <row r="55">
      <c r="A55" s="13" t="s">
        <v>385</v>
      </c>
      <c r="B55" s="84">
        <f t="shared" si="1"/>
        <v>743638</v>
      </c>
      <c r="C55" s="13"/>
      <c r="D55" s="13" t="s">
        <v>103</v>
      </c>
      <c r="E55" s="84">
        <v>286533.0</v>
      </c>
      <c r="F55" s="13"/>
      <c r="G55" s="13"/>
      <c r="H55" s="13"/>
      <c r="I55" s="13"/>
      <c r="J55" s="13"/>
      <c r="K55" s="54" t="s">
        <v>385</v>
      </c>
      <c r="L55" s="54">
        <v>50168.0</v>
      </c>
      <c r="M55" s="13"/>
      <c r="N55" s="96" t="s">
        <v>385</v>
      </c>
      <c r="O55" s="97">
        <v>54996.0</v>
      </c>
      <c r="P55" s="13"/>
      <c r="Q55" s="54" t="s">
        <v>385</v>
      </c>
      <c r="R55" s="54">
        <v>63549.0</v>
      </c>
      <c r="S55" s="13"/>
      <c r="T55" s="54" t="s">
        <v>385</v>
      </c>
      <c r="U55" s="54">
        <v>65330.0</v>
      </c>
      <c r="V55" s="13"/>
      <c r="W55" s="54" t="s">
        <v>385</v>
      </c>
      <c r="X55" s="54">
        <v>62440.0</v>
      </c>
      <c r="Y55" s="13"/>
      <c r="Z55" s="54" t="s">
        <v>385</v>
      </c>
      <c r="AA55" s="54">
        <v>58340.0</v>
      </c>
      <c r="AB55" s="13"/>
      <c r="AC55" s="54" t="s">
        <v>385</v>
      </c>
      <c r="AD55" s="54">
        <v>65513.0</v>
      </c>
      <c r="AE55" s="13"/>
      <c r="AF55" s="54" t="s">
        <v>385</v>
      </c>
      <c r="AG55" s="54">
        <v>66349.0</v>
      </c>
      <c r="AH55" s="13"/>
      <c r="AI55" s="54" t="s">
        <v>385</v>
      </c>
      <c r="AJ55" s="54">
        <v>65919.0</v>
      </c>
      <c r="AK55" s="13"/>
      <c r="AL55" s="54" t="s">
        <v>385</v>
      </c>
      <c r="AM55" s="54">
        <v>67721.0</v>
      </c>
      <c r="AN55" s="13"/>
      <c r="AO55" s="54" t="s">
        <v>385</v>
      </c>
      <c r="AP55" s="54">
        <v>63045.0</v>
      </c>
      <c r="AQ55" s="13"/>
      <c r="AR55" s="54" t="s">
        <v>385</v>
      </c>
      <c r="AS55" s="54">
        <v>60268.0</v>
      </c>
      <c r="AT55" s="13"/>
    </row>
    <row r="56">
      <c r="A56" s="13" t="s">
        <v>386</v>
      </c>
      <c r="B56" s="84">
        <f t="shared" si="1"/>
        <v>1557646</v>
      </c>
      <c r="C56" s="13"/>
      <c r="D56" s="13" t="s">
        <v>143</v>
      </c>
      <c r="E56" s="84">
        <v>123459.0</v>
      </c>
      <c r="F56" s="13"/>
      <c r="G56" s="13"/>
      <c r="H56" s="13"/>
      <c r="I56" s="13"/>
      <c r="J56" s="13"/>
      <c r="K56" s="54" t="s">
        <v>386</v>
      </c>
      <c r="L56" s="54">
        <v>114298.0</v>
      </c>
      <c r="M56" s="13"/>
      <c r="N56" s="96" t="s">
        <v>386</v>
      </c>
      <c r="O56" s="97">
        <v>122672.0</v>
      </c>
      <c r="P56" s="13"/>
      <c r="Q56" s="54" t="s">
        <v>386</v>
      </c>
      <c r="R56" s="54">
        <v>134240.0</v>
      </c>
      <c r="S56" s="13"/>
      <c r="T56" s="54" t="s">
        <v>386</v>
      </c>
      <c r="U56" s="54">
        <v>139210.0</v>
      </c>
      <c r="V56" s="13"/>
      <c r="W56" s="54" t="s">
        <v>386</v>
      </c>
      <c r="X56" s="54">
        <v>129504.0</v>
      </c>
      <c r="Y56" s="13"/>
      <c r="Z56" s="54" t="s">
        <v>386</v>
      </c>
      <c r="AA56" s="54">
        <v>126078.0</v>
      </c>
      <c r="AB56" s="13"/>
      <c r="AC56" s="54" t="s">
        <v>386</v>
      </c>
      <c r="AD56" s="54">
        <v>131387.0</v>
      </c>
      <c r="AE56" s="13"/>
      <c r="AF56" s="54" t="s">
        <v>386</v>
      </c>
      <c r="AG56" s="54">
        <v>129626.0</v>
      </c>
      <c r="AH56" s="13"/>
      <c r="AI56" s="54" t="s">
        <v>386</v>
      </c>
      <c r="AJ56" s="54">
        <v>142411.0</v>
      </c>
      <c r="AK56" s="13"/>
      <c r="AL56" s="54" t="s">
        <v>386</v>
      </c>
      <c r="AM56" s="54">
        <v>136454.0</v>
      </c>
      <c r="AN56" s="13"/>
      <c r="AO56" s="54" t="s">
        <v>386</v>
      </c>
      <c r="AP56" s="54">
        <v>129445.0</v>
      </c>
      <c r="AQ56" s="13"/>
      <c r="AR56" s="54" t="s">
        <v>386</v>
      </c>
      <c r="AS56" s="54">
        <v>122321.0</v>
      </c>
      <c r="AT56" s="13"/>
    </row>
    <row r="57">
      <c r="A57" s="13" t="s">
        <v>387</v>
      </c>
      <c r="B57" s="84">
        <f t="shared" si="1"/>
        <v>444996</v>
      </c>
      <c r="C57" s="13"/>
      <c r="D57" s="13" t="s">
        <v>97</v>
      </c>
      <c r="E57" s="84">
        <v>446411.0</v>
      </c>
      <c r="F57" s="13"/>
      <c r="G57" s="13"/>
      <c r="H57" s="13"/>
      <c r="I57" s="13"/>
      <c r="J57" s="13"/>
      <c r="K57" s="54" t="s">
        <v>387</v>
      </c>
      <c r="L57" s="54">
        <v>29739.0</v>
      </c>
      <c r="M57" s="13"/>
      <c r="N57" s="96" t="s">
        <v>387</v>
      </c>
      <c r="O57" s="97">
        <v>31528.0</v>
      </c>
      <c r="P57" s="13"/>
      <c r="Q57" s="54" t="s">
        <v>387</v>
      </c>
      <c r="R57" s="54">
        <v>37190.0</v>
      </c>
      <c r="S57" s="13"/>
      <c r="T57" s="54" t="s">
        <v>387</v>
      </c>
      <c r="U57" s="54">
        <v>38652.0</v>
      </c>
      <c r="V57" s="13"/>
      <c r="W57" s="54" t="s">
        <v>387</v>
      </c>
      <c r="X57" s="54">
        <v>37247.0</v>
      </c>
      <c r="Y57" s="13"/>
      <c r="Z57" s="54" t="s">
        <v>387</v>
      </c>
      <c r="AA57" s="54">
        <v>37278.0</v>
      </c>
      <c r="AB57" s="13"/>
      <c r="AC57" s="54" t="s">
        <v>387</v>
      </c>
      <c r="AD57" s="54">
        <v>39743.0</v>
      </c>
      <c r="AE57" s="13"/>
      <c r="AF57" s="54" t="s">
        <v>387</v>
      </c>
      <c r="AG57" s="54">
        <v>38379.0</v>
      </c>
      <c r="AH57" s="13"/>
      <c r="AI57" s="54" t="s">
        <v>387</v>
      </c>
      <c r="AJ57" s="54">
        <v>39348.0</v>
      </c>
      <c r="AK57" s="13"/>
      <c r="AL57" s="54" t="s">
        <v>387</v>
      </c>
      <c r="AM57" s="54">
        <v>44921.0</v>
      </c>
      <c r="AN57" s="13"/>
      <c r="AO57" s="54" t="s">
        <v>387</v>
      </c>
      <c r="AP57" s="54">
        <v>37178.0</v>
      </c>
      <c r="AQ57" s="13"/>
      <c r="AR57" s="54" t="s">
        <v>387</v>
      </c>
      <c r="AS57" s="54">
        <v>33793.0</v>
      </c>
      <c r="AT57" s="13"/>
    </row>
    <row r="58">
      <c r="A58" s="13" t="s">
        <v>388</v>
      </c>
      <c r="B58" s="84">
        <f t="shared" si="1"/>
        <v>323890</v>
      </c>
      <c r="C58" s="13"/>
      <c r="D58" s="13" t="s">
        <v>167</v>
      </c>
      <c r="E58" s="84">
        <v>496577.0</v>
      </c>
      <c r="F58" s="13"/>
      <c r="G58" s="13"/>
      <c r="H58" s="13"/>
      <c r="I58" s="13"/>
      <c r="J58" s="13"/>
      <c r="K58" s="54" t="s">
        <v>388</v>
      </c>
      <c r="L58" s="54">
        <v>23317.0</v>
      </c>
      <c r="M58" s="13"/>
      <c r="N58" s="96" t="s">
        <v>388</v>
      </c>
      <c r="O58" s="97">
        <v>23980.0</v>
      </c>
      <c r="P58" s="13"/>
      <c r="Q58" s="54" t="s">
        <v>388</v>
      </c>
      <c r="R58" s="54">
        <v>27497.0</v>
      </c>
      <c r="S58" s="13"/>
      <c r="T58" s="54" t="s">
        <v>388</v>
      </c>
      <c r="U58" s="54">
        <v>29704.0</v>
      </c>
      <c r="V58" s="13"/>
      <c r="W58" s="54" t="s">
        <v>388</v>
      </c>
      <c r="X58" s="54">
        <v>29075.0</v>
      </c>
      <c r="Y58" s="13"/>
      <c r="Z58" s="54" t="s">
        <v>388</v>
      </c>
      <c r="AA58" s="54">
        <v>26782.0</v>
      </c>
      <c r="AB58" s="13"/>
      <c r="AC58" s="54" t="s">
        <v>388</v>
      </c>
      <c r="AD58" s="54">
        <v>27069.0</v>
      </c>
      <c r="AE58" s="13"/>
      <c r="AF58" s="54" t="s">
        <v>388</v>
      </c>
      <c r="AG58" s="54">
        <v>27467.0</v>
      </c>
      <c r="AH58" s="13"/>
      <c r="AI58" s="54" t="s">
        <v>388</v>
      </c>
      <c r="AJ58" s="54">
        <v>27495.0</v>
      </c>
      <c r="AK58" s="13"/>
      <c r="AL58" s="54" t="s">
        <v>388</v>
      </c>
      <c r="AM58" s="54">
        <v>28955.0</v>
      </c>
      <c r="AN58" s="13"/>
      <c r="AO58" s="54" t="s">
        <v>388</v>
      </c>
      <c r="AP58" s="54">
        <v>27416.0</v>
      </c>
      <c r="AQ58" s="13"/>
      <c r="AR58" s="54" t="s">
        <v>388</v>
      </c>
      <c r="AS58" s="54">
        <v>25133.0</v>
      </c>
      <c r="AT58" s="13"/>
    </row>
    <row r="59">
      <c r="A59" s="13" t="s">
        <v>389</v>
      </c>
      <c r="B59" s="84">
        <f t="shared" si="1"/>
        <v>151867</v>
      </c>
      <c r="C59" s="13"/>
      <c r="D59" s="13" t="s">
        <v>211</v>
      </c>
      <c r="E59" s="84">
        <v>36673.0</v>
      </c>
      <c r="F59" s="13"/>
      <c r="G59" s="13"/>
      <c r="H59" s="13"/>
      <c r="I59" s="13"/>
      <c r="J59" s="13"/>
      <c r="K59" s="54" t="s">
        <v>389</v>
      </c>
      <c r="L59" s="54">
        <v>10923.0</v>
      </c>
      <c r="M59" s="13"/>
      <c r="N59" s="96" t="s">
        <v>389</v>
      </c>
      <c r="O59" s="97">
        <v>11052.0</v>
      </c>
      <c r="P59" s="13"/>
      <c r="Q59" s="54" t="s">
        <v>389</v>
      </c>
      <c r="R59" s="54">
        <v>12876.0</v>
      </c>
      <c r="S59" s="13"/>
      <c r="T59" s="54" t="s">
        <v>389</v>
      </c>
      <c r="U59" s="54">
        <v>13850.0</v>
      </c>
      <c r="V59" s="13"/>
      <c r="W59" s="54" t="s">
        <v>389</v>
      </c>
      <c r="X59" s="54">
        <v>13023.0</v>
      </c>
      <c r="Y59" s="13"/>
      <c r="Z59" s="54" t="s">
        <v>389</v>
      </c>
      <c r="AA59" s="54">
        <v>13156.0</v>
      </c>
      <c r="AB59" s="13"/>
      <c r="AC59" s="54" t="s">
        <v>389</v>
      </c>
      <c r="AD59" s="54">
        <v>12234.0</v>
      </c>
      <c r="AE59" s="13"/>
      <c r="AF59" s="54" t="s">
        <v>389</v>
      </c>
      <c r="AG59" s="54">
        <v>11920.0</v>
      </c>
      <c r="AH59" s="13"/>
      <c r="AI59" s="54" t="s">
        <v>389</v>
      </c>
      <c r="AJ59" s="54">
        <v>12800.0</v>
      </c>
      <c r="AK59" s="13"/>
      <c r="AL59" s="54" t="s">
        <v>389</v>
      </c>
      <c r="AM59" s="54">
        <v>14539.0</v>
      </c>
      <c r="AN59" s="13"/>
      <c r="AO59" s="54" t="s">
        <v>389</v>
      </c>
      <c r="AP59" s="54">
        <v>13163.0</v>
      </c>
      <c r="AQ59" s="13"/>
      <c r="AR59" s="54" t="s">
        <v>389</v>
      </c>
      <c r="AS59" s="54">
        <v>12331.0</v>
      </c>
      <c r="AT59" s="13"/>
    </row>
    <row r="60">
      <c r="A60" s="13" t="s">
        <v>390</v>
      </c>
      <c r="B60" s="84">
        <f t="shared" si="1"/>
        <v>155596</v>
      </c>
      <c r="C60" s="13"/>
      <c r="D60" s="13" t="s">
        <v>225</v>
      </c>
      <c r="E60" s="84">
        <v>316963.0</v>
      </c>
      <c r="F60" s="13"/>
      <c r="G60" s="13"/>
      <c r="H60" s="13"/>
      <c r="I60" s="13"/>
      <c r="J60" s="13"/>
      <c r="K60" s="54" t="s">
        <v>390</v>
      </c>
      <c r="L60" s="54">
        <v>10640.0</v>
      </c>
      <c r="M60" s="13"/>
      <c r="N60" s="96" t="s">
        <v>390</v>
      </c>
      <c r="O60" s="97">
        <v>11360.0</v>
      </c>
      <c r="P60" s="13"/>
      <c r="Q60" s="54" t="s">
        <v>390</v>
      </c>
      <c r="R60" s="54">
        <v>12399.0</v>
      </c>
      <c r="S60" s="13"/>
      <c r="T60" s="54" t="s">
        <v>390</v>
      </c>
      <c r="U60" s="54">
        <v>13468.0</v>
      </c>
      <c r="V60" s="13"/>
      <c r="W60" s="54" t="s">
        <v>390</v>
      </c>
      <c r="X60" s="54">
        <v>13447.0</v>
      </c>
      <c r="Y60" s="13"/>
      <c r="Z60" s="54" t="s">
        <v>390</v>
      </c>
      <c r="AA60" s="54">
        <v>14404.0</v>
      </c>
      <c r="AB60" s="13"/>
      <c r="AC60" s="54" t="s">
        <v>390</v>
      </c>
      <c r="AD60" s="54">
        <v>12933.0</v>
      </c>
      <c r="AE60" s="13"/>
      <c r="AF60" s="54" t="s">
        <v>390</v>
      </c>
      <c r="AG60" s="54">
        <v>13191.0</v>
      </c>
      <c r="AH60" s="13"/>
      <c r="AI60" s="54" t="s">
        <v>390</v>
      </c>
      <c r="AJ60" s="54">
        <v>12923.0</v>
      </c>
      <c r="AK60" s="13"/>
      <c r="AL60" s="54" t="s">
        <v>390</v>
      </c>
      <c r="AM60" s="54">
        <v>13675.0</v>
      </c>
      <c r="AN60" s="13"/>
      <c r="AO60" s="54" t="s">
        <v>390</v>
      </c>
      <c r="AP60" s="54">
        <v>16060.0</v>
      </c>
      <c r="AQ60" s="13"/>
      <c r="AR60" s="54" t="s">
        <v>390</v>
      </c>
      <c r="AS60" s="54">
        <v>11096.0</v>
      </c>
      <c r="AT60" s="13"/>
    </row>
    <row r="61">
      <c r="A61" s="13" t="s">
        <v>391</v>
      </c>
      <c r="B61" s="84">
        <f t="shared" si="1"/>
        <v>492460</v>
      </c>
      <c r="C61" s="13"/>
      <c r="D61" s="13" t="s">
        <v>99</v>
      </c>
      <c r="E61" s="84">
        <v>392697.0</v>
      </c>
      <c r="F61" s="13"/>
      <c r="G61" s="13"/>
      <c r="H61" s="13"/>
      <c r="I61" s="13"/>
      <c r="J61" s="13"/>
      <c r="K61" s="54" t="s">
        <v>391</v>
      </c>
      <c r="L61" s="54">
        <v>35557.0</v>
      </c>
      <c r="M61" s="13"/>
      <c r="N61" s="96" t="s">
        <v>391</v>
      </c>
      <c r="O61" s="97">
        <v>38608.0</v>
      </c>
      <c r="P61" s="13"/>
      <c r="Q61" s="54" t="s">
        <v>391</v>
      </c>
      <c r="R61" s="54">
        <v>42263.0</v>
      </c>
      <c r="S61" s="13"/>
      <c r="T61" s="54" t="s">
        <v>391</v>
      </c>
      <c r="U61" s="54">
        <v>45968.0</v>
      </c>
      <c r="V61" s="13"/>
      <c r="W61" s="54" t="s">
        <v>391</v>
      </c>
      <c r="X61" s="54">
        <v>43882.0</v>
      </c>
      <c r="Y61" s="13"/>
      <c r="Z61" s="54" t="s">
        <v>391</v>
      </c>
      <c r="AA61" s="54">
        <v>40717.0</v>
      </c>
      <c r="AB61" s="13"/>
      <c r="AC61" s="54" t="s">
        <v>391</v>
      </c>
      <c r="AD61" s="54">
        <v>40337.0</v>
      </c>
      <c r="AE61" s="13"/>
      <c r="AF61" s="54" t="s">
        <v>391</v>
      </c>
      <c r="AG61" s="54">
        <v>40654.0</v>
      </c>
      <c r="AH61" s="13"/>
      <c r="AI61" s="54" t="s">
        <v>391</v>
      </c>
      <c r="AJ61" s="54">
        <v>40647.0</v>
      </c>
      <c r="AK61" s="13"/>
      <c r="AL61" s="54" t="s">
        <v>391</v>
      </c>
      <c r="AM61" s="54">
        <v>44925.0</v>
      </c>
      <c r="AN61" s="13"/>
      <c r="AO61" s="54" t="s">
        <v>391</v>
      </c>
      <c r="AP61" s="54">
        <v>39665.0</v>
      </c>
      <c r="AQ61" s="13"/>
      <c r="AR61" s="54" t="s">
        <v>391</v>
      </c>
      <c r="AS61" s="54">
        <v>39237.0</v>
      </c>
      <c r="AT61" s="13"/>
    </row>
    <row r="62">
      <c r="A62" s="13" t="s">
        <v>392</v>
      </c>
      <c r="B62" s="84">
        <f t="shared" si="1"/>
        <v>307510</v>
      </c>
      <c r="C62" s="13"/>
      <c r="D62" s="13" t="s">
        <v>67</v>
      </c>
      <c r="E62" s="84">
        <v>654248.0</v>
      </c>
      <c r="F62" s="13"/>
      <c r="G62" s="13"/>
      <c r="H62" s="13"/>
      <c r="I62" s="13"/>
      <c r="J62" s="13"/>
      <c r="K62" s="54" t="s">
        <v>392</v>
      </c>
      <c r="L62" s="54">
        <v>21213.0</v>
      </c>
      <c r="M62" s="13"/>
      <c r="N62" s="96" t="s">
        <v>392</v>
      </c>
      <c r="O62" s="97">
        <v>22720.0</v>
      </c>
      <c r="P62" s="13"/>
      <c r="Q62" s="54" t="s">
        <v>392</v>
      </c>
      <c r="R62" s="54">
        <v>25249.0</v>
      </c>
      <c r="S62" s="13"/>
      <c r="T62" s="54" t="s">
        <v>392</v>
      </c>
      <c r="U62" s="54">
        <v>27624.0</v>
      </c>
      <c r="V62" s="13"/>
      <c r="W62" s="54" t="s">
        <v>392</v>
      </c>
      <c r="X62" s="54">
        <v>24754.0</v>
      </c>
      <c r="Y62" s="13"/>
      <c r="Z62" s="54" t="s">
        <v>392</v>
      </c>
      <c r="AA62" s="54">
        <v>26027.0</v>
      </c>
      <c r="AB62" s="13"/>
      <c r="AC62" s="54" t="s">
        <v>392</v>
      </c>
      <c r="AD62" s="54">
        <v>26266.0</v>
      </c>
      <c r="AE62" s="13"/>
      <c r="AF62" s="54" t="s">
        <v>392</v>
      </c>
      <c r="AG62" s="54">
        <v>25176.0</v>
      </c>
      <c r="AH62" s="13"/>
      <c r="AI62" s="54" t="s">
        <v>392</v>
      </c>
      <c r="AJ62" s="54">
        <v>26607.0</v>
      </c>
      <c r="AK62" s="13"/>
      <c r="AL62" s="54" t="s">
        <v>392</v>
      </c>
      <c r="AM62" s="54">
        <v>29252.0</v>
      </c>
      <c r="AN62" s="13"/>
      <c r="AO62" s="54" t="s">
        <v>392</v>
      </c>
      <c r="AP62" s="54">
        <v>29069.0</v>
      </c>
      <c r="AQ62" s="13"/>
      <c r="AR62" s="54" t="s">
        <v>392</v>
      </c>
      <c r="AS62" s="54">
        <v>23553.0</v>
      </c>
      <c r="AT62" s="13"/>
    </row>
    <row r="63">
      <c r="A63" s="13" t="s">
        <v>393</v>
      </c>
      <c r="B63" s="84">
        <f t="shared" si="1"/>
        <v>334353</v>
      </c>
      <c r="C63" s="13"/>
      <c r="D63" s="13" t="s">
        <v>121</v>
      </c>
      <c r="E63" s="84">
        <v>91685.0</v>
      </c>
      <c r="F63" s="13"/>
      <c r="G63" s="13"/>
      <c r="H63" s="13"/>
      <c r="I63" s="13"/>
      <c r="J63" s="13"/>
      <c r="K63" s="54" t="s">
        <v>393</v>
      </c>
      <c r="L63" s="54">
        <v>21880.0</v>
      </c>
      <c r="M63" s="13"/>
      <c r="N63" s="96" t="s">
        <v>393</v>
      </c>
      <c r="O63" s="97">
        <v>23588.0</v>
      </c>
      <c r="P63" s="13"/>
      <c r="Q63" s="54" t="s">
        <v>393</v>
      </c>
      <c r="R63" s="54">
        <v>32710.0</v>
      </c>
      <c r="S63" s="13"/>
      <c r="T63" s="54" t="s">
        <v>393</v>
      </c>
      <c r="U63" s="54">
        <v>44210.0</v>
      </c>
      <c r="V63" s="13"/>
      <c r="W63" s="54" t="s">
        <v>393</v>
      </c>
      <c r="X63" s="54">
        <v>27270.0</v>
      </c>
      <c r="Y63" s="13"/>
      <c r="Z63" s="54" t="s">
        <v>393</v>
      </c>
      <c r="AA63" s="54">
        <v>24973.0</v>
      </c>
      <c r="AB63" s="13"/>
      <c r="AC63" s="54" t="s">
        <v>393</v>
      </c>
      <c r="AD63" s="54">
        <v>25807.0</v>
      </c>
      <c r="AE63" s="13"/>
      <c r="AF63" s="54" t="s">
        <v>393</v>
      </c>
      <c r="AG63" s="54">
        <v>25139.0</v>
      </c>
      <c r="AH63" s="13"/>
      <c r="AI63" s="54" t="s">
        <v>393</v>
      </c>
      <c r="AJ63" s="54">
        <v>26173.0</v>
      </c>
      <c r="AK63" s="13"/>
      <c r="AL63" s="54" t="s">
        <v>393</v>
      </c>
      <c r="AM63" s="54">
        <v>29316.0</v>
      </c>
      <c r="AN63" s="13"/>
      <c r="AO63" s="54" t="s">
        <v>393</v>
      </c>
      <c r="AP63" s="54">
        <v>26403.0</v>
      </c>
      <c r="AQ63" s="13"/>
      <c r="AR63" s="54" t="s">
        <v>393</v>
      </c>
      <c r="AS63" s="54">
        <v>26884.0</v>
      </c>
      <c r="AT63" s="13"/>
    </row>
    <row r="64">
      <c r="A64" s="13" t="s">
        <v>394</v>
      </c>
      <c r="B64" s="84">
        <f t="shared" si="1"/>
        <v>343192</v>
      </c>
      <c r="C64" s="13"/>
      <c r="D64" s="13" t="s">
        <v>89</v>
      </c>
      <c r="E64" s="84">
        <v>323890.0</v>
      </c>
      <c r="F64" s="13"/>
      <c r="G64" s="13"/>
      <c r="H64" s="13"/>
      <c r="I64" s="13"/>
      <c r="J64" s="13"/>
      <c r="K64" s="54" t="s">
        <v>394</v>
      </c>
      <c r="L64" s="54">
        <v>24429.0</v>
      </c>
      <c r="M64" s="13"/>
      <c r="N64" s="96" t="s">
        <v>394</v>
      </c>
      <c r="O64" s="97">
        <v>25840.0</v>
      </c>
      <c r="P64" s="13"/>
      <c r="Q64" s="54" t="s">
        <v>394</v>
      </c>
      <c r="R64" s="54">
        <v>28377.0</v>
      </c>
      <c r="S64" s="13"/>
      <c r="T64" s="54" t="s">
        <v>394</v>
      </c>
      <c r="U64" s="54">
        <v>28756.0</v>
      </c>
      <c r="V64" s="13"/>
      <c r="W64" s="54" t="s">
        <v>394</v>
      </c>
      <c r="X64" s="54">
        <v>28879.0</v>
      </c>
      <c r="Y64" s="13"/>
      <c r="Z64" s="54" t="s">
        <v>394</v>
      </c>
      <c r="AA64" s="54">
        <v>27787.0</v>
      </c>
      <c r="AB64" s="13"/>
      <c r="AC64" s="54" t="s">
        <v>394</v>
      </c>
      <c r="AD64" s="54">
        <v>28221.0</v>
      </c>
      <c r="AE64" s="13"/>
      <c r="AF64" s="54" t="s">
        <v>394</v>
      </c>
      <c r="AG64" s="54">
        <v>28912.0</v>
      </c>
      <c r="AH64" s="13"/>
      <c r="AI64" s="54" t="s">
        <v>394</v>
      </c>
      <c r="AJ64" s="54">
        <v>29563.0</v>
      </c>
      <c r="AK64" s="13"/>
      <c r="AL64" s="54" t="s">
        <v>394</v>
      </c>
      <c r="AM64" s="54">
        <v>32625.0</v>
      </c>
      <c r="AN64" s="13"/>
      <c r="AO64" s="54" t="s">
        <v>394</v>
      </c>
      <c r="AP64" s="54">
        <v>28276.0</v>
      </c>
      <c r="AQ64" s="13"/>
      <c r="AR64" s="54" t="s">
        <v>394</v>
      </c>
      <c r="AS64" s="54">
        <v>31527.0</v>
      </c>
      <c r="AT64" s="13"/>
    </row>
    <row r="65">
      <c r="A65" s="13" t="s">
        <v>395</v>
      </c>
      <c r="B65" s="84">
        <f t="shared" si="1"/>
        <v>468045</v>
      </c>
      <c r="C65" s="13"/>
      <c r="D65" s="13" t="s">
        <v>79</v>
      </c>
      <c r="E65" s="84">
        <v>451222.0</v>
      </c>
      <c r="F65" s="13"/>
      <c r="G65" s="13"/>
      <c r="H65" s="13"/>
      <c r="I65" s="13"/>
      <c r="J65" s="13"/>
      <c r="K65" s="54" t="s">
        <v>395</v>
      </c>
      <c r="L65" s="54">
        <v>34747.0</v>
      </c>
      <c r="M65" s="13"/>
      <c r="N65" s="96" t="s">
        <v>395</v>
      </c>
      <c r="O65" s="97">
        <v>34928.0</v>
      </c>
      <c r="P65" s="13"/>
      <c r="Q65" s="54" t="s">
        <v>395</v>
      </c>
      <c r="R65" s="54">
        <v>37231.0</v>
      </c>
      <c r="S65" s="13"/>
      <c r="T65" s="54" t="s">
        <v>395</v>
      </c>
      <c r="U65" s="54">
        <v>39050.0</v>
      </c>
      <c r="V65" s="13"/>
      <c r="W65" s="54" t="s">
        <v>395</v>
      </c>
      <c r="X65" s="54">
        <v>39374.0</v>
      </c>
      <c r="Y65" s="13"/>
      <c r="Z65" s="54" t="s">
        <v>395</v>
      </c>
      <c r="AA65" s="54">
        <v>40103.0</v>
      </c>
      <c r="AB65" s="13"/>
      <c r="AC65" s="54" t="s">
        <v>395</v>
      </c>
      <c r="AD65" s="54">
        <v>36595.0</v>
      </c>
      <c r="AE65" s="13"/>
      <c r="AF65" s="54" t="s">
        <v>395</v>
      </c>
      <c r="AG65" s="54">
        <v>39781.0</v>
      </c>
      <c r="AH65" s="13"/>
      <c r="AI65" s="54" t="s">
        <v>395</v>
      </c>
      <c r="AJ65" s="54">
        <v>42986.0</v>
      </c>
      <c r="AK65" s="13"/>
      <c r="AL65" s="54" t="s">
        <v>395</v>
      </c>
      <c r="AM65" s="54">
        <v>45279.0</v>
      </c>
      <c r="AN65" s="13"/>
      <c r="AO65" s="54" t="s">
        <v>395</v>
      </c>
      <c r="AP65" s="54">
        <v>39917.0</v>
      </c>
      <c r="AQ65" s="13"/>
      <c r="AR65" s="54" t="s">
        <v>395</v>
      </c>
      <c r="AS65" s="54">
        <v>38054.0</v>
      </c>
      <c r="AT65" s="13"/>
    </row>
    <row r="66">
      <c r="A66" s="13" t="s">
        <v>396</v>
      </c>
      <c r="B66" s="84">
        <f t="shared" si="1"/>
        <v>316963</v>
      </c>
      <c r="C66" s="13"/>
      <c r="D66" s="13" t="s">
        <v>87</v>
      </c>
      <c r="E66" s="84">
        <v>125815.0</v>
      </c>
      <c r="F66" s="13"/>
      <c r="G66" s="13"/>
      <c r="H66" s="13"/>
      <c r="I66" s="13"/>
      <c r="J66" s="13"/>
      <c r="K66" s="54" t="s">
        <v>396</v>
      </c>
      <c r="L66" s="54">
        <v>25468.0</v>
      </c>
      <c r="M66" s="13"/>
      <c r="N66" s="96" t="s">
        <v>396</v>
      </c>
      <c r="O66" s="97">
        <v>26436.0</v>
      </c>
      <c r="P66" s="13"/>
      <c r="Q66" s="54" t="s">
        <v>396</v>
      </c>
      <c r="R66" s="54">
        <v>29434.0</v>
      </c>
      <c r="S66" s="13"/>
      <c r="T66" s="54" t="s">
        <v>396</v>
      </c>
      <c r="U66" s="54">
        <v>26672.0</v>
      </c>
      <c r="V66" s="13"/>
      <c r="W66" s="54" t="s">
        <v>396</v>
      </c>
      <c r="X66" s="54">
        <v>25963.0</v>
      </c>
      <c r="Y66" s="13"/>
      <c r="Z66" s="54" t="s">
        <v>396</v>
      </c>
      <c r="AA66" s="54">
        <v>24936.0</v>
      </c>
      <c r="AB66" s="13"/>
      <c r="AC66" s="54" t="s">
        <v>396</v>
      </c>
      <c r="AD66" s="54">
        <v>25319.0</v>
      </c>
      <c r="AE66" s="13"/>
      <c r="AF66" s="54" t="s">
        <v>396</v>
      </c>
      <c r="AG66" s="54">
        <v>25637.0</v>
      </c>
      <c r="AH66" s="13"/>
      <c r="AI66" s="54" t="s">
        <v>396</v>
      </c>
      <c r="AJ66" s="54">
        <v>27027.0</v>
      </c>
      <c r="AK66" s="13"/>
      <c r="AL66" s="54" t="s">
        <v>396</v>
      </c>
      <c r="AM66" s="54">
        <v>29706.0</v>
      </c>
      <c r="AN66" s="13"/>
      <c r="AO66" s="54" t="s">
        <v>396</v>
      </c>
      <c r="AP66" s="54">
        <v>25276.0</v>
      </c>
      <c r="AQ66" s="13"/>
      <c r="AR66" s="54" t="s">
        <v>396</v>
      </c>
      <c r="AS66" s="54">
        <v>25089.0</v>
      </c>
      <c r="AT66" s="13"/>
    </row>
    <row r="67">
      <c r="A67" s="13" t="s">
        <v>397</v>
      </c>
      <c r="B67" s="84">
        <f t="shared" si="1"/>
        <v>243502</v>
      </c>
      <c r="C67" s="13"/>
      <c r="D67" s="13" t="s">
        <v>173</v>
      </c>
      <c r="E67" s="84">
        <v>192733.0</v>
      </c>
      <c r="F67" s="13"/>
      <c r="G67" s="13"/>
      <c r="H67" s="13"/>
      <c r="I67" s="13"/>
      <c r="J67" s="13"/>
      <c r="K67" s="54" t="s">
        <v>397</v>
      </c>
      <c r="L67" s="54">
        <v>15132.0</v>
      </c>
      <c r="M67" s="13"/>
      <c r="N67" s="96" t="s">
        <v>397</v>
      </c>
      <c r="O67" s="97">
        <v>17656.0</v>
      </c>
      <c r="P67" s="13"/>
      <c r="Q67" s="54" t="s">
        <v>397</v>
      </c>
      <c r="R67" s="54">
        <v>27160.0</v>
      </c>
      <c r="S67" s="13"/>
      <c r="T67" s="54" t="s">
        <v>397</v>
      </c>
      <c r="U67" s="54">
        <v>31970.0</v>
      </c>
      <c r="V67" s="13"/>
      <c r="W67" s="54" t="s">
        <v>397</v>
      </c>
      <c r="X67" s="54">
        <v>20046.0</v>
      </c>
      <c r="Y67" s="13"/>
      <c r="Z67" s="54" t="s">
        <v>397</v>
      </c>
      <c r="AA67" s="54">
        <v>16030.0</v>
      </c>
      <c r="AB67" s="13"/>
      <c r="AC67" s="54" t="s">
        <v>397</v>
      </c>
      <c r="AD67" s="54">
        <v>16550.0</v>
      </c>
      <c r="AE67" s="13"/>
      <c r="AF67" s="54" t="s">
        <v>397</v>
      </c>
      <c r="AG67" s="54">
        <v>17366.0</v>
      </c>
      <c r="AH67" s="13"/>
      <c r="AI67" s="54" t="s">
        <v>397</v>
      </c>
      <c r="AJ67" s="54">
        <v>21840.0</v>
      </c>
      <c r="AK67" s="13"/>
      <c r="AL67" s="54" t="s">
        <v>397</v>
      </c>
      <c r="AM67" s="54">
        <v>23775.0</v>
      </c>
      <c r="AN67" s="13"/>
      <c r="AO67" s="54" t="s">
        <v>397</v>
      </c>
      <c r="AP67" s="54">
        <v>19636.0</v>
      </c>
      <c r="AQ67" s="13"/>
      <c r="AR67" s="54" t="s">
        <v>397</v>
      </c>
      <c r="AS67" s="54">
        <v>16341.0</v>
      </c>
      <c r="AT67" s="13"/>
    </row>
    <row r="68">
      <c r="A68" s="13" t="s">
        <v>398</v>
      </c>
      <c r="B68" s="84">
        <f t="shared" si="1"/>
        <v>341408</v>
      </c>
      <c r="C68" s="13"/>
      <c r="D68" s="13" t="s">
        <v>157</v>
      </c>
      <c r="E68" s="84">
        <v>100563.0</v>
      </c>
      <c r="F68" s="13"/>
      <c r="G68" s="13"/>
      <c r="H68" s="13"/>
      <c r="I68" s="13"/>
      <c r="J68" s="13"/>
      <c r="K68" s="54" t="s">
        <v>398</v>
      </c>
      <c r="L68" s="54">
        <v>26266.0</v>
      </c>
      <c r="M68" s="13"/>
      <c r="N68" s="96" t="s">
        <v>398</v>
      </c>
      <c r="O68" s="97">
        <v>26428.0</v>
      </c>
      <c r="P68" s="13"/>
      <c r="Q68" s="54" t="s">
        <v>398</v>
      </c>
      <c r="R68" s="54">
        <v>28068.0</v>
      </c>
      <c r="S68" s="13"/>
      <c r="T68" s="54" t="s">
        <v>398</v>
      </c>
      <c r="U68" s="54">
        <v>28926.0</v>
      </c>
      <c r="V68" s="13"/>
      <c r="W68" s="54" t="s">
        <v>398</v>
      </c>
      <c r="X68" s="54">
        <v>28466.0</v>
      </c>
      <c r="Y68" s="13"/>
      <c r="Z68" s="54" t="s">
        <v>398</v>
      </c>
      <c r="AA68" s="54">
        <v>29743.0</v>
      </c>
      <c r="AB68" s="13"/>
      <c r="AC68" s="54" t="s">
        <v>398</v>
      </c>
      <c r="AD68" s="54">
        <v>28027.0</v>
      </c>
      <c r="AE68" s="13"/>
      <c r="AF68" s="54" t="s">
        <v>398</v>
      </c>
      <c r="AG68" s="54">
        <v>27455.0</v>
      </c>
      <c r="AH68" s="13"/>
      <c r="AI68" s="54" t="s">
        <v>398</v>
      </c>
      <c r="AJ68" s="54">
        <v>29952.0</v>
      </c>
      <c r="AK68" s="13"/>
      <c r="AL68" s="54" t="s">
        <v>398</v>
      </c>
      <c r="AM68" s="54">
        <v>30413.0</v>
      </c>
      <c r="AN68" s="13"/>
      <c r="AO68" s="54" t="s">
        <v>398</v>
      </c>
      <c r="AP68" s="54">
        <v>27731.0</v>
      </c>
      <c r="AQ68" s="13"/>
      <c r="AR68" s="54" t="s">
        <v>398</v>
      </c>
      <c r="AS68" s="54">
        <v>29933.0</v>
      </c>
      <c r="AT68" s="13"/>
    </row>
    <row r="69">
      <c r="A69" s="13" t="s">
        <v>399</v>
      </c>
      <c r="B69" s="84">
        <f t="shared" si="1"/>
        <v>299633</v>
      </c>
      <c r="C69" s="13"/>
      <c r="D69" s="13" t="s">
        <v>175</v>
      </c>
      <c r="E69" s="84">
        <v>97145.0</v>
      </c>
      <c r="F69" s="13"/>
      <c r="G69" s="13"/>
      <c r="H69" s="13"/>
      <c r="I69" s="13"/>
      <c r="J69" s="13"/>
      <c r="K69" s="54" t="s">
        <v>399</v>
      </c>
      <c r="L69" s="54">
        <v>22128.0</v>
      </c>
      <c r="M69" s="13"/>
      <c r="N69" s="96" t="s">
        <v>399</v>
      </c>
      <c r="O69" s="97">
        <v>22976.0</v>
      </c>
      <c r="P69" s="13"/>
      <c r="Q69" s="54" t="s">
        <v>399</v>
      </c>
      <c r="R69" s="54">
        <v>25098.0</v>
      </c>
      <c r="S69" s="13"/>
      <c r="T69" s="54" t="s">
        <v>399</v>
      </c>
      <c r="U69" s="54">
        <v>25060.0</v>
      </c>
      <c r="V69" s="13"/>
      <c r="W69" s="54" t="s">
        <v>399</v>
      </c>
      <c r="X69" s="54">
        <v>26137.0</v>
      </c>
      <c r="Y69" s="13"/>
      <c r="Z69" s="54" t="s">
        <v>399</v>
      </c>
      <c r="AA69" s="54">
        <v>24620.0</v>
      </c>
      <c r="AB69" s="13"/>
      <c r="AC69" s="54" t="s">
        <v>399</v>
      </c>
      <c r="AD69" s="54">
        <v>25120.0</v>
      </c>
      <c r="AE69" s="13"/>
      <c r="AF69" s="54" t="s">
        <v>399</v>
      </c>
      <c r="AG69" s="54">
        <v>24606.0</v>
      </c>
      <c r="AH69" s="13"/>
      <c r="AI69" s="54" t="s">
        <v>399</v>
      </c>
      <c r="AJ69" s="54">
        <v>26640.0</v>
      </c>
      <c r="AK69" s="13"/>
      <c r="AL69" s="54" t="s">
        <v>399</v>
      </c>
      <c r="AM69" s="54">
        <v>28060.0</v>
      </c>
      <c r="AN69" s="13"/>
      <c r="AO69" s="54" t="s">
        <v>399</v>
      </c>
      <c r="AP69" s="54">
        <v>24716.0</v>
      </c>
      <c r="AQ69" s="13"/>
      <c r="AR69" s="54" t="s">
        <v>399</v>
      </c>
      <c r="AS69" s="54">
        <v>24472.0</v>
      </c>
      <c r="AT69" s="13"/>
    </row>
    <row r="70">
      <c r="A70" s="13" t="s">
        <v>400</v>
      </c>
      <c r="B70" s="84">
        <f t="shared" si="1"/>
        <v>246689</v>
      </c>
      <c r="C70" s="13"/>
      <c r="D70" s="13" t="s">
        <v>165</v>
      </c>
      <c r="E70" s="84">
        <v>468045.0</v>
      </c>
      <c r="F70" s="13"/>
      <c r="G70" s="13"/>
      <c r="H70" s="13"/>
      <c r="I70" s="13"/>
      <c r="J70" s="13"/>
      <c r="K70" s="54" t="s">
        <v>400</v>
      </c>
      <c r="L70" s="54">
        <v>17625.0</v>
      </c>
      <c r="M70" s="13"/>
      <c r="N70" s="96" t="s">
        <v>400</v>
      </c>
      <c r="O70" s="97">
        <v>18860.0</v>
      </c>
      <c r="P70" s="13"/>
      <c r="Q70" s="54" t="s">
        <v>400</v>
      </c>
      <c r="R70" s="54">
        <v>20141.0</v>
      </c>
      <c r="S70" s="13"/>
      <c r="T70" s="54" t="s">
        <v>400</v>
      </c>
      <c r="U70" s="54">
        <v>20054.0</v>
      </c>
      <c r="V70" s="13"/>
      <c r="W70" s="54" t="s">
        <v>400</v>
      </c>
      <c r="X70" s="54">
        <v>20534.0</v>
      </c>
      <c r="Y70" s="13"/>
      <c r="Z70" s="54" t="s">
        <v>400</v>
      </c>
      <c r="AA70" s="54">
        <v>19278.0</v>
      </c>
      <c r="AB70" s="13"/>
      <c r="AC70" s="54" t="s">
        <v>400</v>
      </c>
      <c r="AD70" s="54">
        <v>19438.0</v>
      </c>
      <c r="AE70" s="13"/>
      <c r="AF70" s="54" t="s">
        <v>400</v>
      </c>
      <c r="AG70" s="54">
        <v>20815.0</v>
      </c>
      <c r="AH70" s="13"/>
      <c r="AI70" s="54" t="s">
        <v>400</v>
      </c>
      <c r="AJ70" s="54">
        <v>23151.0</v>
      </c>
      <c r="AK70" s="13"/>
      <c r="AL70" s="54" t="s">
        <v>400</v>
      </c>
      <c r="AM70" s="54">
        <v>24516.0</v>
      </c>
      <c r="AN70" s="13"/>
      <c r="AO70" s="54" t="s">
        <v>400</v>
      </c>
      <c r="AP70" s="54">
        <v>21388.0</v>
      </c>
      <c r="AQ70" s="13"/>
      <c r="AR70" s="54" t="s">
        <v>400</v>
      </c>
      <c r="AS70" s="54">
        <v>20889.0</v>
      </c>
      <c r="AT70" s="13"/>
    </row>
    <row r="71">
      <c r="A71" s="13" t="s">
        <v>401</v>
      </c>
      <c r="B71" s="84">
        <f t="shared" si="1"/>
        <v>197029</v>
      </c>
      <c r="C71" s="13"/>
      <c r="D71" s="13" t="s">
        <v>151</v>
      </c>
      <c r="E71" s="84">
        <v>246689.0</v>
      </c>
      <c r="F71" s="13"/>
      <c r="G71" s="13"/>
      <c r="H71" s="13"/>
      <c r="I71" s="13"/>
      <c r="J71" s="13"/>
      <c r="K71" s="54" t="s">
        <v>401</v>
      </c>
      <c r="L71" s="54">
        <v>13803.0</v>
      </c>
      <c r="M71" s="13"/>
      <c r="N71" s="96" t="s">
        <v>401</v>
      </c>
      <c r="O71" s="97">
        <v>15148.0</v>
      </c>
      <c r="P71" s="13"/>
      <c r="Q71" s="54" t="s">
        <v>401</v>
      </c>
      <c r="R71" s="54">
        <v>16406.0</v>
      </c>
      <c r="S71" s="13"/>
      <c r="T71" s="54" t="s">
        <v>401</v>
      </c>
      <c r="U71" s="54">
        <v>16836.0</v>
      </c>
      <c r="V71" s="13"/>
      <c r="W71" s="54" t="s">
        <v>401</v>
      </c>
      <c r="X71" s="54">
        <v>18330.0</v>
      </c>
      <c r="Y71" s="13"/>
      <c r="Z71" s="54" t="s">
        <v>401</v>
      </c>
      <c r="AA71" s="54">
        <v>12968.0</v>
      </c>
      <c r="AB71" s="13"/>
      <c r="AC71" s="54" t="s">
        <v>401</v>
      </c>
      <c r="AD71" s="54">
        <v>12699.0</v>
      </c>
      <c r="AE71" s="13"/>
      <c r="AF71" s="54" t="s">
        <v>401</v>
      </c>
      <c r="AG71" s="54">
        <v>16969.0</v>
      </c>
      <c r="AH71" s="13"/>
      <c r="AI71" s="54" t="s">
        <v>401</v>
      </c>
      <c r="AJ71" s="54">
        <v>19963.0</v>
      </c>
      <c r="AK71" s="13"/>
      <c r="AL71" s="54" t="s">
        <v>401</v>
      </c>
      <c r="AM71" s="54">
        <v>19462.0</v>
      </c>
      <c r="AN71" s="13"/>
      <c r="AO71" s="54" t="s">
        <v>401</v>
      </c>
      <c r="AP71" s="54">
        <v>17816.0</v>
      </c>
      <c r="AQ71" s="13"/>
      <c r="AR71" s="54" t="s">
        <v>401</v>
      </c>
      <c r="AS71" s="54">
        <v>16629.0</v>
      </c>
      <c r="AT71" s="13"/>
    </row>
    <row r="72">
      <c r="A72" s="13" t="s">
        <v>402</v>
      </c>
      <c r="B72" s="84">
        <f t="shared" si="1"/>
        <v>123459</v>
      </c>
      <c r="C72" s="13"/>
      <c r="D72" s="13" t="s">
        <v>231</v>
      </c>
      <c r="E72" s="84">
        <v>2126497.0</v>
      </c>
      <c r="F72" s="13"/>
      <c r="G72" s="13"/>
      <c r="H72" s="13"/>
      <c r="I72" s="13"/>
      <c r="J72" s="13"/>
      <c r="K72" s="54" t="s">
        <v>402</v>
      </c>
      <c r="L72" s="54">
        <v>8462.0</v>
      </c>
      <c r="M72" s="13"/>
      <c r="N72" s="96" t="s">
        <v>402</v>
      </c>
      <c r="O72" s="97">
        <v>9152.0</v>
      </c>
      <c r="P72" s="13"/>
      <c r="Q72" s="54" t="s">
        <v>402</v>
      </c>
      <c r="R72" s="54">
        <v>10377.0</v>
      </c>
      <c r="S72" s="13"/>
      <c r="T72" s="54" t="s">
        <v>402</v>
      </c>
      <c r="U72" s="54">
        <v>10632.0</v>
      </c>
      <c r="V72" s="13"/>
      <c r="W72" s="54" t="s">
        <v>402</v>
      </c>
      <c r="X72" s="54">
        <v>10759.0</v>
      </c>
      <c r="Y72" s="13"/>
      <c r="Z72" s="54" t="s">
        <v>402</v>
      </c>
      <c r="AA72" s="54">
        <v>10032.0</v>
      </c>
      <c r="AB72" s="13"/>
      <c r="AC72" s="54" t="s">
        <v>402</v>
      </c>
      <c r="AD72" s="54">
        <v>10704.0</v>
      </c>
      <c r="AE72" s="13"/>
      <c r="AF72" s="54" t="s">
        <v>402</v>
      </c>
      <c r="AG72" s="54">
        <v>10392.0</v>
      </c>
      <c r="AH72" s="13"/>
      <c r="AI72" s="54" t="s">
        <v>402</v>
      </c>
      <c r="AJ72" s="54">
        <v>10894.0</v>
      </c>
      <c r="AK72" s="13"/>
      <c r="AL72" s="54" t="s">
        <v>402</v>
      </c>
      <c r="AM72" s="54">
        <v>11689.0</v>
      </c>
      <c r="AN72" s="13"/>
      <c r="AO72" s="54" t="s">
        <v>402</v>
      </c>
      <c r="AP72" s="54">
        <v>9991.0</v>
      </c>
      <c r="AQ72" s="13"/>
      <c r="AR72" s="54" t="s">
        <v>402</v>
      </c>
      <c r="AS72" s="54">
        <v>10375.0</v>
      </c>
      <c r="AT72" s="13"/>
    </row>
    <row r="73">
      <c r="A73" s="13" t="s">
        <v>403</v>
      </c>
      <c r="B73" s="84">
        <f t="shared" si="1"/>
        <v>320971</v>
      </c>
      <c r="C73" s="13"/>
      <c r="D73" s="13" t="s">
        <v>123</v>
      </c>
      <c r="E73" s="84">
        <v>695153.0</v>
      </c>
      <c r="F73" s="13"/>
      <c r="G73" s="13"/>
      <c r="H73" s="13"/>
      <c r="I73" s="13"/>
      <c r="J73" s="13"/>
      <c r="K73" s="54" t="s">
        <v>403</v>
      </c>
      <c r="L73" s="54">
        <v>23923.0</v>
      </c>
      <c r="M73" s="13"/>
      <c r="N73" s="96" t="s">
        <v>403</v>
      </c>
      <c r="O73" s="97">
        <v>25664.0</v>
      </c>
      <c r="P73" s="13"/>
      <c r="Q73" s="54" t="s">
        <v>403</v>
      </c>
      <c r="R73" s="54">
        <v>26743.0</v>
      </c>
      <c r="S73" s="13"/>
      <c r="T73" s="54" t="s">
        <v>403</v>
      </c>
      <c r="U73" s="54">
        <v>27082.0</v>
      </c>
      <c r="V73" s="13"/>
      <c r="W73" s="54" t="s">
        <v>403</v>
      </c>
      <c r="X73" s="54">
        <v>27706.0</v>
      </c>
      <c r="Y73" s="13"/>
      <c r="Z73" s="54" t="s">
        <v>403</v>
      </c>
      <c r="AA73" s="54">
        <v>25599.0</v>
      </c>
      <c r="AB73" s="13"/>
      <c r="AC73" s="54" t="s">
        <v>403</v>
      </c>
      <c r="AD73" s="54">
        <v>27587.0</v>
      </c>
      <c r="AE73" s="13"/>
      <c r="AF73" s="54" t="s">
        <v>403</v>
      </c>
      <c r="AG73" s="54">
        <v>28378.0</v>
      </c>
      <c r="AH73" s="13"/>
      <c r="AI73" s="54" t="s">
        <v>403</v>
      </c>
      <c r="AJ73" s="54">
        <v>29073.0</v>
      </c>
      <c r="AK73" s="13"/>
      <c r="AL73" s="54" t="s">
        <v>403</v>
      </c>
      <c r="AM73" s="54">
        <v>27927.0</v>
      </c>
      <c r="AN73" s="13"/>
      <c r="AO73" s="54" t="s">
        <v>403</v>
      </c>
      <c r="AP73" s="54">
        <v>26537.0</v>
      </c>
      <c r="AQ73" s="13"/>
      <c r="AR73" s="54" t="s">
        <v>403</v>
      </c>
      <c r="AS73" s="54">
        <v>24752.0</v>
      </c>
      <c r="AT73" s="13"/>
    </row>
    <row r="74">
      <c r="A74" s="13" t="s">
        <v>404</v>
      </c>
      <c r="B74" s="84">
        <f t="shared" si="1"/>
        <v>417782</v>
      </c>
      <c r="C74" s="13"/>
      <c r="D74" s="13" t="s">
        <v>71</v>
      </c>
      <c r="E74" s="84">
        <v>253484.0</v>
      </c>
      <c r="F74" s="13"/>
      <c r="G74" s="13"/>
      <c r="H74" s="13"/>
      <c r="I74" s="13"/>
      <c r="J74" s="13"/>
      <c r="K74" s="54" t="s">
        <v>404</v>
      </c>
      <c r="L74" s="54">
        <v>39436.0</v>
      </c>
      <c r="M74" s="13"/>
      <c r="N74" s="96" t="s">
        <v>404</v>
      </c>
      <c r="O74" s="97">
        <v>42196.0</v>
      </c>
      <c r="P74" s="13"/>
      <c r="Q74" s="54" t="s">
        <v>404</v>
      </c>
      <c r="R74" s="54">
        <v>47025.0</v>
      </c>
      <c r="S74" s="13"/>
      <c r="T74" s="54" t="s">
        <v>404</v>
      </c>
      <c r="U74" s="54">
        <v>47322.0</v>
      </c>
      <c r="V74" s="13"/>
      <c r="W74" s="54" t="s">
        <v>404</v>
      </c>
      <c r="X74" s="54">
        <v>45952.0</v>
      </c>
      <c r="Y74" s="13"/>
      <c r="Z74" s="54" t="s">
        <v>404</v>
      </c>
      <c r="AA74" s="54">
        <v>46455.0</v>
      </c>
      <c r="AB74" s="13"/>
      <c r="AC74" s="54" t="s">
        <v>404</v>
      </c>
      <c r="AD74" s="54">
        <v>46854.0</v>
      </c>
      <c r="AE74" s="13"/>
      <c r="AF74" s="54" t="s">
        <v>404</v>
      </c>
      <c r="AG74" s="54">
        <v>28343.0</v>
      </c>
      <c r="AH74" s="13"/>
      <c r="AI74" s="54" t="s">
        <v>404</v>
      </c>
      <c r="AJ74" s="54">
        <v>26542.0</v>
      </c>
      <c r="AK74" s="13"/>
      <c r="AL74" s="54" t="s">
        <v>404</v>
      </c>
      <c r="AM74" s="54">
        <v>17348.0</v>
      </c>
      <c r="AN74" s="13"/>
      <c r="AO74" s="54" t="s">
        <v>404</v>
      </c>
      <c r="AP74" s="54">
        <v>15786.0</v>
      </c>
      <c r="AQ74" s="13"/>
      <c r="AR74" s="54" t="s">
        <v>404</v>
      </c>
      <c r="AS74" s="54">
        <v>14523.0</v>
      </c>
      <c r="AT74" s="13"/>
    </row>
    <row r="75">
      <c r="A75" s="13" t="s">
        <v>405</v>
      </c>
      <c r="B75" s="84">
        <f t="shared" si="1"/>
        <v>51754</v>
      </c>
      <c r="C75" s="13"/>
      <c r="D75" s="13" t="s">
        <v>38</v>
      </c>
      <c r="E75" s="84">
        <v>536563.0</v>
      </c>
      <c r="F75" s="13"/>
      <c r="G75" s="13"/>
      <c r="H75" s="13"/>
      <c r="I75" s="13"/>
      <c r="J75" s="13"/>
      <c r="K75" s="54" t="s">
        <v>406</v>
      </c>
      <c r="L75" s="54">
        <v>62243.0</v>
      </c>
      <c r="M75" s="13"/>
      <c r="N75" s="96" t="s">
        <v>406</v>
      </c>
      <c r="O75" s="97">
        <v>58576.0</v>
      </c>
      <c r="P75" s="13"/>
      <c r="Q75" s="54" t="s">
        <v>406</v>
      </c>
      <c r="R75" s="54">
        <v>59537.0</v>
      </c>
      <c r="S75" s="13"/>
      <c r="T75" s="54" t="s">
        <v>406</v>
      </c>
      <c r="U75" s="54">
        <v>57920.0</v>
      </c>
      <c r="V75" s="13"/>
      <c r="W75" s="54" t="s">
        <v>406</v>
      </c>
      <c r="X75" s="54">
        <v>61842.0</v>
      </c>
      <c r="Y75" s="13"/>
      <c r="Z75" s="54" t="s">
        <v>406</v>
      </c>
      <c r="AA75" s="54">
        <v>55626.0</v>
      </c>
      <c r="AB75" s="13"/>
      <c r="AC75" s="54" t="s">
        <v>406</v>
      </c>
      <c r="AD75" s="54">
        <v>53106.0</v>
      </c>
      <c r="AE75" s="13"/>
      <c r="AF75" s="54" t="s">
        <v>406</v>
      </c>
      <c r="AG75" s="54">
        <v>53565.0</v>
      </c>
      <c r="AH75" s="13"/>
      <c r="AI75" s="54" t="s">
        <v>405</v>
      </c>
      <c r="AJ75" s="54">
        <v>16121.0</v>
      </c>
      <c r="AK75" s="13"/>
      <c r="AL75" s="54" t="s">
        <v>405</v>
      </c>
      <c r="AM75" s="54">
        <v>12699.0</v>
      </c>
      <c r="AN75" s="13"/>
      <c r="AO75" s="54" t="s">
        <v>405</v>
      </c>
      <c r="AP75" s="54">
        <v>11421.0</v>
      </c>
      <c r="AQ75" s="13"/>
      <c r="AR75" s="54" t="s">
        <v>405</v>
      </c>
      <c r="AS75" s="54">
        <v>11513.0</v>
      </c>
      <c r="AT75" s="13"/>
    </row>
    <row r="76">
      <c r="A76" s="13" t="s">
        <v>407</v>
      </c>
      <c r="B76" s="84">
        <f t="shared" si="1"/>
        <v>52404</v>
      </c>
      <c r="C76" s="13"/>
      <c r="D76" s="13" t="s">
        <v>221</v>
      </c>
      <c r="E76" s="84">
        <v>326195.0</v>
      </c>
      <c r="F76" s="13"/>
      <c r="G76" s="13"/>
      <c r="H76" s="13"/>
      <c r="I76" s="13"/>
      <c r="J76" s="13"/>
      <c r="K76" s="54" t="s">
        <v>408</v>
      </c>
      <c r="L76" s="54">
        <v>34258.0</v>
      </c>
      <c r="M76" s="13"/>
      <c r="N76" s="96" t="s">
        <v>408</v>
      </c>
      <c r="O76" s="97">
        <v>30640.0</v>
      </c>
      <c r="P76" s="13"/>
      <c r="Q76" s="54" t="s">
        <v>408</v>
      </c>
      <c r="R76" s="54">
        <v>33211.0</v>
      </c>
      <c r="S76" s="13"/>
      <c r="T76" s="54" t="s">
        <v>408</v>
      </c>
      <c r="U76" s="54">
        <v>34434.0</v>
      </c>
      <c r="V76" s="13"/>
      <c r="W76" s="54" t="s">
        <v>408</v>
      </c>
      <c r="X76" s="54">
        <v>35780.0</v>
      </c>
      <c r="Y76" s="13"/>
      <c r="Z76" s="54" t="s">
        <v>408</v>
      </c>
      <c r="AA76" s="54">
        <v>31807.0</v>
      </c>
      <c r="AB76" s="13"/>
      <c r="AC76" s="54" t="s">
        <v>408</v>
      </c>
      <c r="AD76" s="54">
        <v>33483.0</v>
      </c>
      <c r="AE76" s="13"/>
      <c r="AF76" s="54" t="s">
        <v>408</v>
      </c>
      <c r="AG76" s="54">
        <v>34331.0</v>
      </c>
      <c r="AH76" s="13"/>
      <c r="AI76" s="54" t="s">
        <v>407</v>
      </c>
      <c r="AJ76" s="54">
        <v>17768.0</v>
      </c>
      <c r="AK76" s="13"/>
      <c r="AL76" s="54" t="s">
        <v>407</v>
      </c>
      <c r="AM76" s="54">
        <v>11872.0</v>
      </c>
      <c r="AN76" s="13"/>
      <c r="AO76" s="54" t="s">
        <v>407</v>
      </c>
      <c r="AP76" s="54">
        <v>11654.0</v>
      </c>
      <c r="AQ76" s="13"/>
      <c r="AR76" s="54" t="s">
        <v>407</v>
      </c>
      <c r="AS76" s="54">
        <v>11110.0</v>
      </c>
      <c r="AT76" s="13"/>
    </row>
    <row r="77">
      <c r="A77" s="13" t="s">
        <v>409</v>
      </c>
      <c r="B77" s="84">
        <f t="shared" si="1"/>
        <v>36673</v>
      </c>
      <c r="C77" s="13"/>
      <c r="D77" s="13" t="s">
        <v>195</v>
      </c>
      <c r="E77" s="84">
        <v>1411856.0</v>
      </c>
      <c r="F77" s="13"/>
      <c r="G77" s="13"/>
      <c r="H77" s="13"/>
      <c r="I77" s="13"/>
      <c r="J77" s="13"/>
      <c r="K77" s="54" t="s">
        <v>410</v>
      </c>
      <c r="L77" s="54">
        <v>35233.0</v>
      </c>
      <c r="M77" s="13"/>
      <c r="N77" s="96" t="s">
        <v>410</v>
      </c>
      <c r="O77" s="97">
        <v>32572.0</v>
      </c>
      <c r="P77" s="13"/>
      <c r="Q77" s="54" t="s">
        <v>410</v>
      </c>
      <c r="R77" s="54">
        <v>34017.0</v>
      </c>
      <c r="S77" s="13"/>
      <c r="T77" s="54" t="s">
        <v>410</v>
      </c>
      <c r="U77" s="54">
        <v>35096.0</v>
      </c>
      <c r="V77" s="13"/>
      <c r="W77" s="54" t="s">
        <v>410</v>
      </c>
      <c r="X77" s="54">
        <v>35973.0</v>
      </c>
      <c r="Y77" s="13"/>
      <c r="Z77" s="54" t="s">
        <v>410</v>
      </c>
      <c r="AA77" s="54">
        <v>29963.0</v>
      </c>
      <c r="AB77" s="13"/>
      <c r="AC77" s="54" t="s">
        <v>410</v>
      </c>
      <c r="AD77" s="54">
        <v>31352.0</v>
      </c>
      <c r="AE77" s="13"/>
      <c r="AF77" s="54" t="s">
        <v>410</v>
      </c>
      <c r="AG77" s="54">
        <v>84048.0</v>
      </c>
      <c r="AH77" s="13"/>
      <c r="AI77" s="54" t="s">
        <v>409</v>
      </c>
      <c r="AJ77" s="54">
        <v>12777.0</v>
      </c>
      <c r="AK77" s="13"/>
      <c r="AL77" s="54" t="s">
        <v>409</v>
      </c>
      <c r="AM77" s="54">
        <v>8993.0</v>
      </c>
      <c r="AN77" s="13"/>
      <c r="AO77" s="54" t="s">
        <v>409</v>
      </c>
      <c r="AP77" s="54">
        <v>7624.0</v>
      </c>
      <c r="AQ77" s="13"/>
      <c r="AR77" s="54" t="s">
        <v>409</v>
      </c>
      <c r="AS77" s="54">
        <v>7279.0</v>
      </c>
      <c r="AT77" s="13"/>
    </row>
    <row r="78">
      <c r="A78" s="13" t="s">
        <v>411</v>
      </c>
      <c r="B78" s="84">
        <f t="shared" si="1"/>
        <v>216048</v>
      </c>
      <c r="C78" s="13"/>
      <c r="D78" s="13" t="s">
        <v>34</v>
      </c>
      <c r="E78" s="84">
        <v>241782.0</v>
      </c>
      <c r="F78" s="13"/>
      <c r="G78" s="13"/>
      <c r="H78" s="13"/>
      <c r="I78" s="13"/>
      <c r="J78" s="13"/>
      <c r="K78" s="54" t="s">
        <v>412</v>
      </c>
      <c r="L78" s="54">
        <v>101430.0</v>
      </c>
      <c r="M78" s="13"/>
      <c r="N78" s="96" t="s">
        <v>412</v>
      </c>
      <c r="O78" s="97">
        <v>92140.0</v>
      </c>
      <c r="P78" s="13"/>
      <c r="Q78" s="54" t="s">
        <v>412</v>
      </c>
      <c r="R78" s="54">
        <v>98444.0</v>
      </c>
      <c r="S78" s="13"/>
      <c r="T78" s="54" t="s">
        <v>412</v>
      </c>
      <c r="U78" s="54">
        <v>99292.0</v>
      </c>
      <c r="V78" s="13"/>
      <c r="W78" s="54" t="s">
        <v>412</v>
      </c>
      <c r="X78" s="54">
        <v>103041.0</v>
      </c>
      <c r="Y78" s="13"/>
      <c r="Z78" s="54" t="s">
        <v>412</v>
      </c>
      <c r="AA78" s="54">
        <v>91102.0</v>
      </c>
      <c r="AB78" s="13"/>
      <c r="AC78" s="54" t="s">
        <v>412</v>
      </c>
      <c r="AD78" s="54">
        <v>92179.0</v>
      </c>
      <c r="AE78" s="13"/>
      <c r="AF78" s="54" t="s">
        <v>412</v>
      </c>
      <c r="AG78" s="54">
        <v>94606.0</v>
      </c>
      <c r="AH78" s="13"/>
      <c r="AI78" s="54" t="s">
        <v>411</v>
      </c>
      <c r="AJ78" s="54">
        <v>66446.0</v>
      </c>
      <c r="AK78" s="13"/>
      <c r="AL78" s="54" t="s">
        <v>411</v>
      </c>
      <c r="AM78" s="54">
        <v>51011.0</v>
      </c>
      <c r="AN78" s="13"/>
      <c r="AO78" s="54" t="s">
        <v>411</v>
      </c>
      <c r="AP78" s="54">
        <v>49129.0</v>
      </c>
      <c r="AQ78" s="13"/>
      <c r="AR78" s="54" t="s">
        <v>411</v>
      </c>
      <c r="AS78" s="54">
        <v>49462.0</v>
      </c>
      <c r="AT78" s="13"/>
    </row>
    <row r="79">
      <c r="A79" s="13" t="s">
        <v>406</v>
      </c>
      <c r="B79" s="84">
        <f t="shared" si="1"/>
        <v>695153</v>
      </c>
      <c r="C79" s="13"/>
      <c r="D79" s="13" t="s">
        <v>105</v>
      </c>
      <c r="E79" s="84">
        <v>216048.0</v>
      </c>
      <c r="F79" s="13"/>
      <c r="G79" s="13"/>
      <c r="H79" s="13"/>
      <c r="I79" s="13"/>
      <c r="J79" s="13"/>
      <c r="K79" s="54" t="s">
        <v>413</v>
      </c>
      <c r="L79" s="54">
        <v>31921.0</v>
      </c>
      <c r="M79" s="13"/>
      <c r="N79" s="96" t="s">
        <v>413</v>
      </c>
      <c r="O79" s="97">
        <v>29328.0</v>
      </c>
      <c r="P79" s="13"/>
      <c r="Q79" s="54" t="s">
        <v>413</v>
      </c>
      <c r="R79" s="54">
        <v>30303.0</v>
      </c>
      <c r="S79" s="13"/>
      <c r="T79" s="54" t="s">
        <v>413</v>
      </c>
      <c r="U79" s="54">
        <v>30198.0</v>
      </c>
      <c r="V79" s="13"/>
      <c r="W79" s="54" t="s">
        <v>413</v>
      </c>
      <c r="X79" s="54">
        <v>32567.0</v>
      </c>
      <c r="Y79" s="13"/>
      <c r="Z79" s="54" t="s">
        <v>413</v>
      </c>
      <c r="AA79" s="54">
        <v>28010.0</v>
      </c>
      <c r="AB79" s="13"/>
      <c r="AC79" s="54" t="s">
        <v>413</v>
      </c>
      <c r="AD79" s="54">
        <v>28944.0</v>
      </c>
      <c r="AE79" s="13"/>
      <c r="AF79" s="54" t="s">
        <v>413</v>
      </c>
      <c r="AG79" s="54">
        <v>31400.0</v>
      </c>
      <c r="AH79" s="13"/>
      <c r="AI79" s="54" t="s">
        <v>406</v>
      </c>
      <c r="AJ79" s="54">
        <v>55650.0</v>
      </c>
      <c r="AK79" s="13"/>
      <c r="AL79" s="54" t="s">
        <v>406</v>
      </c>
      <c r="AM79" s="54">
        <v>60490.0</v>
      </c>
      <c r="AN79" s="13"/>
      <c r="AO79" s="54" t="s">
        <v>406</v>
      </c>
      <c r="AP79" s="54">
        <v>60391.0</v>
      </c>
      <c r="AQ79" s="13"/>
      <c r="AR79" s="54" t="s">
        <v>406</v>
      </c>
      <c r="AS79" s="54">
        <v>56207.0</v>
      </c>
      <c r="AT79" s="13"/>
    </row>
    <row r="80">
      <c r="A80" s="13" t="s">
        <v>408</v>
      </c>
      <c r="B80" s="84">
        <f t="shared" si="1"/>
        <v>392697</v>
      </c>
      <c r="C80" s="13"/>
      <c r="D80" s="13" t="s">
        <v>55</v>
      </c>
      <c r="E80" s="84">
        <v>265660.0</v>
      </c>
      <c r="F80" s="13"/>
      <c r="G80" s="13"/>
      <c r="H80" s="13"/>
      <c r="I80" s="13"/>
      <c r="J80" s="13"/>
      <c r="K80" s="54" t="s">
        <v>414</v>
      </c>
      <c r="L80" s="54">
        <v>52475.0</v>
      </c>
      <c r="M80" s="13"/>
      <c r="N80" s="96" t="s">
        <v>414</v>
      </c>
      <c r="O80" s="97">
        <v>48112.0</v>
      </c>
      <c r="P80" s="13"/>
      <c r="Q80" s="54" t="s">
        <v>414</v>
      </c>
      <c r="R80" s="54">
        <v>49893.0</v>
      </c>
      <c r="S80" s="13"/>
      <c r="T80" s="54" t="s">
        <v>414</v>
      </c>
      <c r="U80" s="54">
        <v>51146.0</v>
      </c>
      <c r="V80" s="13"/>
      <c r="W80" s="54" t="s">
        <v>414</v>
      </c>
      <c r="X80" s="54">
        <v>53598.0</v>
      </c>
      <c r="Y80" s="13"/>
      <c r="Z80" s="54" t="s">
        <v>414</v>
      </c>
      <c r="AA80" s="54">
        <v>45490.0</v>
      </c>
      <c r="AB80" s="13"/>
      <c r="AC80" s="54" t="s">
        <v>414</v>
      </c>
      <c r="AD80" s="54">
        <v>48882.0</v>
      </c>
      <c r="AE80" s="13"/>
      <c r="AF80" s="54" t="s">
        <v>414</v>
      </c>
      <c r="AG80" s="54">
        <v>49453.0</v>
      </c>
      <c r="AH80" s="13"/>
      <c r="AI80" s="54" t="s">
        <v>408</v>
      </c>
      <c r="AJ80" s="54">
        <v>30456.0</v>
      </c>
      <c r="AK80" s="13"/>
      <c r="AL80" s="54" t="s">
        <v>408</v>
      </c>
      <c r="AM80" s="54">
        <v>33277.0</v>
      </c>
      <c r="AN80" s="13"/>
      <c r="AO80" s="54" t="s">
        <v>408</v>
      </c>
      <c r="AP80" s="54">
        <v>30677.0</v>
      </c>
      <c r="AQ80" s="13"/>
      <c r="AR80" s="54" t="s">
        <v>408</v>
      </c>
      <c r="AS80" s="54">
        <v>30343.0</v>
      </c>
      <c r="AT80" s="13"/>
    </row>
    <row r="81">
      <c r="A81" s="13" t="s">
        <v>410</v>
      </c>
      <c r="B81" s="84">
        <f t="shared" si="1"/>
        <v>451222</v>
      </c>
      <c r="C81" s="13"/>
      <c r="D81" s="13" t="s">
        <v>209</v>
      </c>
      <c r="E81" s="84">
        <v>52404.0</v>
      </c>
      <c r="F81" s="13"/>
      <c r="G81" s="13"/>
      <c r="H81" s="13"/>
      <c r="I81" s="13"/>
      <c r="J81" s="13"/>
      <c r="K81" s="54" t="s">
        <v>415</v>
      </c>
      <c r="L81" s="54">
        <v>42575.0</v>
      </c>
      <c r="M81" s="13"/>
      <c r="N81" s="96" t="s">
        <v>415</v>
      </c>
      <c r="O81" s="97">
        <v>38188.0</v>
      </c>
      <c r="P81" s="13"/>
      <c r="Q81" s="54" t="s">
        <v>415</v>
      </c>
      <c r="R81" s="54">
        <v>39626.0</v>
      </c>
      <c r="S81" s="13"/>
      <c r="T81" s="54" t="s">
        <v>415</v>
      </c>
      <c r="U81" s="54">
        <v>39678.0</v>
      </c>
      <c r="V81" s="13"/>
      <c r="W81" s="54" t="s">
        <v>415</v>
      </c>
      <c r="X81" s="54">
        <v>41440.0</v>
      </c>
      <c r="Y81" s="13"/>
      <c r="Z81" s="54" t="s">
        <v>415</v>
      </c>
      <c r="AA81" s="54">
        <v>36530.0</v>
      </c>
      <c r="AB81" s="13"/>
      <c r="AC81" s="54" t="s">
        <v>415</v>
      </c>
      <c r="AD81" s="54">
        <v>38867.0</v>
      </c>
      <c r="AE81" s="13"/>
      <c r="AF81" s="54" t="s">
        <v>415</v>
      </c>
      <c r="AG81" s="54">
        <v>40301.0</v>
      </c>
      <c r="AH81" s="13"/>
      <c r="AI81" s="54" t="s">
        <v>410</v>
      </c>
      <c r="AJ81" s="54">
        <v>33960.0</v>
      </c>
      <c r="AK81" s="13"/>
      <c r="AL81" s="54" t="s">
        <v>410</v>
      </c>
      <c r="AM81" s="54">
        <v>34653.0</v>
      </c>
      <c r="AN81" s="13"/>
      <c r="AO81" s="54" t="s">
        <v>410</v>
      </c>
      <c r="AP81" s="54">
        <v>32181.0</v>
      </c>
      <c r="AQ81" s="13"/>
      <c r="AR81" s="54" t="s">
        <v>410</v>
      </c>
      <c r="AS81" s="54">
        <v>32174.0</v>
      </c>
      <c r="AT81" s="13"/>
    </row>
    <row r="82">
      <c r="A82" s="13" t="s">
        <v>412</v>
      </c>
      <c r="B82" s="84">
        <f t="shared" si="1"/>
        <v>1158328</v>
      </c>
      <c r="C82" s="13"/>
      <c r="D82" s="13" t="s">
        <v>41</v>
      </c>
      <c r="E82" s="84">
        <v>479903.0</v>
      </c>
      <c r="F82" s="13"/>
      <c r="G82" s="13"/>
      <c r="H82" s="13"/>
      <c r="I82" s="13"/>
      <c r="J82" s="13"/>
      <c r="K82" s="54" t="s">
        <v>416</v>
      </c>
      <c r="L82" s="54">
        <v>36903.0</v>
      </c>
      <c r="M82" s="13"/>
      <c r="N82" s="96" t="s">
        <v>416</v>
      </c>
      <c r="O82" s="97">
        <v>33252.0</v>
      </c>
      <c r="P82" s="13"/>
      <c r="Q82" s="54" t="s">
        <v>416</v>
      </c>
      <c r="R82" s="54">
        <v>35419.0</v>
      </c>
      <c r="S82" s="13"/>
      <c r="T82" s="54" t="s">
        <v>416</v>
      </c>
      <c r="U82" s="54">
        <v>36264.0</v>
      </c>
      <c r="V82" s="13"/>
      <c r="W82" s="54" t="s">
        <v>416</v>
      </c>
      <c r="X82" s="54">
        <v>38079.0</v>
      </c>
      <c r="Y82" s="13"/>
      <c r="Z82" s="54" t="s">
        <v>416</v>
      </c>
      <c r="AA82" s="54">
        <v>32651.0</v>
      </c>
      <c r="AB82" s="13"/>
      <c r="AC82" s="54" t="s">
        <v>416</v>
      </c>
      <c r="AD82" s="54">
        <v>33487.0</v>
      </c>
      <c r="AE82" s="13"/>
      <c r="AF82" s="54" t="s">
        <v>416</v>
      </c>
      <c r="AG82" s="54">
        <v>34704.0</v>
      </c>
      <c r="AH82" s="13"/>
      <c r="AI82" s="54" t="s">
        <v>412</v>
      </c>
      <c r="AJ82" s="54">
        <v>94591.0</v>
      </c>
      <c r="AK82" s="13"/>
      <c r="AL82" s="54" t="s">
        <v>412</v>
      </c>
      <c r="AM82" s="54">
        <v>97956.0</v>
      </c>
      <c r="AN82" s="13"/>
      <c r="AO82" s="54" t="s">
        <v>412</v>
      </c>
      <c r="AP82" s="54">
        <v>91044.0</v>
      </c>
      <c r="AQ82" s="13"/>
      <c r="AR82" s="54" t="s">
        <v>412</v>
      </c>
      <c r="AS82" s="54">
        <v>102503.0</v>
      </c>
      <c r="AT82" s="13"/>
    </row>
    <row r="83">
      <c r="A83" s="13" t="s">
        <v>413</v>
      </c>
      <c r="B83" s="84">
        <f t="shared" si="1"/>
        <v>370024</v>
      </c>
      <c r="C83" s="13"/>
      <c r="D83" s="13" t="s">
        <v>193</v>
      </c>
      <c r="E83" s="84">
        <v>341408.0</v>
      </c>
      <c r="F83" s="13"/>
      <c r="G83" s="13"/>
      <c r="H83" s="13"/>
      <c r="I83" s="13"/>
      <c r="J83" s="13"/>
      <c r="K83" s="54" t="s">
        <v>417</v>
      </c>
      <c r="L83" s="54">
        <v>39163.0</v>
      </c>
      <c r="M83" s="13"/>
      <c r="N83" s="96" t="s">
        <v>417</v>
      </c>
      <c r="O83" s="97">
        <v>34952.0</v>
      </c>
      <c r="P83" s="13"/>
      <c r="Q83" s="54" t="s">
        <v>417</v>
      </c>
      <c r="R83" s="54">
        <v>36687.0</v>
      </c>
      <c r="S83" s="13"/>
      <c r="T83" s="54" t="s">
        <v>417</v>
      </c>
      <c r="U83" s="54">
        <v>38280.0</v>
      </c>
      <c r="V83" s="13"/>
      <c r="W83" s="54" t="s">
        <v>417</v>
      </c>
      <c r="X83" s="54">
        <v>39725.0</v>
      </c>
      <c r="Y83" s="13"/>
      <c r="Z83" s="54" t="s">
        <v>417</v>
      </c>
      <c r="AA83" s="54">
        <v>33538.0</v>
      </c>
      <c r="AB83" s="13"/>
      <c r="AC83" s="54" t="s">
        <v>417</v>
      </c>
      <c r="AD83" s="54">
        <v>34492.0</v>
      </c>
      <c r="AE83" s="13"/>
      <c r="AF83" s="54" t="s">
        <v>417</v>
      </c>
      <c r="AG83" s="54">
        <v>35329.0</v>
      </c>
      <c r="AH83" s="13"/>
      <c r="AI83" s="54" t="s">
        <v>413</v>
      </c>
      <c r="AJ83" s="54">
        <v>32169.0</v>
      </c>
      <c r="AK83" s="13"/>
      <c r="AL83" s="54" t="s">
        <v>413</v>
      </c>
      <c r="AM83" s="54">
        <v>33517.0</v>
      </c>
      <c r="AN83" s="13"/>
      <c r="AO83" s="54" t="s">
        <v>413</v>
      </c>
      <c r="AP83" s="54">
        <v>28893.0</v>
      </c>
      <c r="AQ83" s="13"/>
      <c r="AR83" s="54" t="s">
        <v>413</v>
      </c>
      <c r="AS83" s="54">
        <v>32774.0</v>
      </c>
      <c r="AT83" s="13"/>
    </row>
    <row r="84">
      <c r="A84" s="13" t="s">
        <v>414</v>
      </c>
      <c r="B84" s="84">
        <f t="shared" si="1"/>
        <v>596387</v>
      </c>
      <c r="C84" s="13"/>
      <c r="D84" s="13" t="s">
        <v>36</v>
      </c>
      <c r="E84" s="84">
        <v>420929.0</v>
      </c>
      <c r="F84" s="13"/>
      <c r="G84" s="13"/>
      <c r="H84" s="13"/>
      <c r="I84" s="13"/>
      <c r="J84" s="13"/>
      <c r="K84" s="54" t="s">
        <v>418</v>
      </c>
      <c r="L84" s="54">
        <v>55265.0</v>
      </c>
      <c r="M84" s="13"/>
      <c r="N84" s="96" t="s">
        <v>418</v>
      </c>
      <c r="O84" s="97">
        <v>47728.0</v>
      </c>
      <c r="P84" s="13"/>
      <c r="Q84" s="54" t="s">
        <v>418</v>
      </c>
      <c r="R84" s="54">
        <v>50964.0</v>
      </c>
      <c r="S84" s="13"/>
      <c r="T84" s="54" t="s">
        <v>418</v>
      </c>
      <c r="U84" s="54">
        <v>51576.0</v>
      </c>
      <c r="V84" s="13"/>
      <c r="W84" s="54" t="s">
        <v>418</v>
      </c>
      <c r="X84" s="54">
        <v>52542.0</v>
      </c>
      <c r="Y84" s="13"/>
      <c r="Z84" s="54" t="s">
        <v>418</v>
      </c>
      <c r="AA84" s="54">
        <v>31970.0</v>
      </c>
      <c r="AB84" s="13"/>
      <c r="AC84" s="54" t="s">
        <v>418</v>
      </c>
      <c r="AD84" s="54">
        <v>30465.0</v>
      </c>
      <c r="AE84" s="13"/>
      <c r="AF84" s="54" t="s">
        <v>418</v>
      </c>
      <c r="AG84" s="54">
        <v>32514.0</v>
      </c>
      <c r="AH84" s="13"/>
      <c r="AI84" s="54" t="s">
        <v>414</v>
      </c>
      <c r="AJ84" s="54">
        <v>50845.0</v>
      </c>
      <c r="AK84" s="13"/>
      <c r="AL84" s="54" t="s">
        <v>414</v>
      </c>
      <c r="AM84" s="54">
        <v>52156.0</v>
      </c>
      <c r="AN84" s="13"/>
      <c r="AO84" s="54" t="s">
        <v>414</v>
      </c>
      <c r="AP84" s="54">
        <v>45059.0</v>
      </c>
      <c r="AQ84" s="13"/>
      <c r="AR84" s="54" t="s">
        <v>414</v>
      </c>
      <c r="AS84" s="54">
        <v>49278.0</v>
      </c>
      <c r="AT84" s="13"/>
    </row>
    <row r="85">
      <c r="A85" s="13" t="s">
        <v>415</v>
      </c>
      <c r="B85" s="84">
        <f t="shared" si="1"/>
        <v>476471</v>
      </c>
      <c r="C85" s="13"/>
      <c r="D85" s="13" t="s">
        <v>135</v>
      </c>
      <c r="E85" s="84">
        <v>406909.0</v>
      </c>
      <c r="F85" s="13"/>
      <c r="G85" s="13"/>
      <c r="H85" s="13"/>
      <c r="I85" s="13"/>
      <c r="J85" s="13"/>
      <c r="K85" s="54" t="s">
        <v>419</v>
      </c>
      <c r="L85" s="54">
        <v>38804.0</v>
      </c>
      <c r="M85" s="13"/>
      <c r="N85" s="96" t="s">
        <v>419</v>
      </c>
      <c r="O85" s="97">
        <v>35892.0</v>
      </c>
      <c r="P85" s="13"/>
      <c r="Q85" s="54" t="s">
        <v>419</v>
      </c>
      <c r="R85" s="54">
        <v>38389.0</v>
      </c>
      <c r="S85" s="13"/>
      <c r="T85" s="54" t="s">
        <v>419</v>
      </c>
      <c r="U85" s="54">
        <v>37754.0</v>
      </c>
      <c r="V85" s="13"/>
      <c r="W85" s="54" t="s">
        <v>419</v>
      </c>
      <c r="X85" s="54">
        <v>44419.0</v>
      </c>
      <c r="Y85" s="13"/>
      <c r="Z85" s="54" t="s">
        <v>419</v>
      </c>
      <c r="AA85" s="54">
        <v>32424.0</v>
      </c>
      <c r="AB85" s="13"/>
      <c r="AC85" s="54" t="s">
        <v>419</v>
      </c>
      <c r="AD85" s="54">
        <v>30841.0</v>
      </c>
      <c r="AE85" s="13"/>
      <c r="AF85" s="54" t="s">
        <v>419</v>
      </c>
      <c r="AG85" s="54">
        <v>30781.0</v>
      </c>
      <c r="AH85" s="13"/>
      <c r="AI85" s="54" t="s">
        <v>415</v>
      </c>
      <c r="AJ85" s="54">
        <v>40002.0</v>
      </c>
      <c r="AK85" s="13"/>
      <c r="AL85" s="54" t="s">
        <v>415</v>
      </c>
      <c r="AM85" s="54">
        <v>41738.0</v>
      </c>
      <c r="AN85" s="13"/>
      <c r="AO85" s="54" t="s">
        <v>415</v>
      </c>
      <c r="AP85" s="54">
        <v>36533.0</v>
      </c>
      <c r="AQ85" s="13"/>
      <c r="AR85" s="54" t="s">
        <v>415</v>
      </c>
      <c r="AS85" s="54">
        <v>40993.0</v>
      </c>
      <c r="AT85" s="13"/>
    </row>
    <row r="86">
      <c r="A86" s="13" t="s">
        <v>416</v>
      </c>
      <c r="B86" s="84">
        <f t="shared" si="1"/>
        <v>424558</v>
      </c>
      <c r="C86" s="13"/>
      <c r="D86" s="13" t="s">
        <v>159</v>
      </c>
      <c r="E86" s="84">
        <v>307510.0</v>
      </c>
      <c r="F86" s="13"/>
      <c r="G86" s="13"/>
      <c r="H86" s="13"/>
      <c r="I86" s="13"/>
      <c r="J86" s="13"/>
      <c r="K86" s="54" t="s">
        <v>420</v>
      </c>
      <c r="L86" s="54">
        <v>96659.0</v>
      </c>
      <c r="M86" s="13"/>
      <c r="N86" s="96" t="s">
        <v>420</v>
      </c>
      <c r="O86" s="97">
        <v>99636.0</v>
      </c>
      <c r="P86" s="13"/>
      <c r="Q86" s="54" t="s">
        <v>420</v>
      </c>
      <c r="R86" s="54">
        <v>107844.0</v>
      </c>
      <c r="S86" s="13"/>
      <c r="T86" s="54" t="s">
        <v>420</v>
      </c>
      <c r="U86" s="54">
        <v>111948.0</v>
      </c>
      <c r="V86" s="13"/>
      <c r="W86" s="54" t="s">
        <v>420</v>
      </c>
      <c r="X86" s="54">
        <v>110773.0</v>
      </c>
      <c r="Y86" s="13"/>
      <c r="Z86" s="54" t="s">
        <v>421</v>
      </c>
      <c r="AA86" s="54">
        <v>61597.0</v>
      </c>
      <c r="AB86" s="13"/>
      <c r="AC86" s="54" t="s">
        <v>421</v>
      </c>
      <c r="AD86" s="54">
        <v>58896.0</v>
      </c>
      <c r="AE86" s="13"/>
      <c r="AF86" s="54" t="s">
        <v>421</v>
      </c>
      <c r="AG86" s="54">
        <v>65272.0</v>
      </c>
      <c r="AH86" s="13"/>
      <c r="AI86" s="54" t="s">
        <v>416</v>
      </c>
      <c r="AJ86" s="54">
        <v>36434.0</v>
      </c>
      <c r="AK86" s="13"/>
      <c r="AL86" s="54" t="s">
        <v>416</v>
      </c>
      <c r="AM86" s="54">
        <v>38145.0</v>
      </c>
      <c r="AN86" s="13"/>
      <c r="AO86" s="54" t="s">
        <v>416</v>
      </c>
      <c r="AP86" s="54">
        <v>32881.0</v>
      </c>
      <c r="AQ86" s="13"/>
      <c r="AR86" s="54" t="s">
        <v>416</v>
      </c>
      <c r="AS86" s="54">
        <v>36339.0</v>
      </c>
      <c r="AT86" s="13"/>
    </row>
    <row r="87">
      <c r="A87" s="13" t="s">
        <v>417</v>
      </c>
      <c r="B87" s="84">
        <f t="shared" si="1"/>
        <v>437613</v>
      </c>
      <c r="C87" s="13"/>
      <c r="D87" s="13" t="s">
        <v>107</v>
      </c>
      <c r="E87" s="84">
        <v>155596.0</v>
      </c>
      <c r="F87" s="13"/>
      <c r="G87" s="13"/>
      <c r="H87" s="13"/>
      <c r="I87" s="13"/>
      <c r="J87" s="13"/>
      <c r="K87" s="54" t="s">
        <v>422</v>
      </c>
      <c r="L87" s="54">
        <v>32897.0</v>
      </c>
      <c r="M87" s="13"/>
      <c r="N87" s="96" t="s">
        <v>422</v>
      </c>
      <c r="O87" s="97">
        <v>31676.0</v>
      </c>
      <c r="P87" s="13"/>
      <c r="Q87" s="54" t="s">
        <v>422</v>
      </c>
      <c r="R87" s="54">
        <v>38146.0</v>
      </c>
      <c r="S87" s="13"/>
      <c r="T87" s="54" t="s">
        <v>422</v>
      </c>
      <c r="U87" s="54">
        <v>39548.0</v>
      </c>
      <c r="V87" s="13"/>
      <c r="W87" s="54" t="s">
        <v>422</v>
      </c>
      <c r="X87" s="54">
        <v>35784.0</v>
      </c>
      <c r="Y87" s="13"/>
      <c r="Z87" s="54" t="s">
        <v>420</v>
      </c>
      <c r="AA87" s="54">
        <v>172465.0</v>
      </c>
      <c r="AB87" s="13"/>
      <c r="AC87" s="54" t="s">
        <v>420</v>
      </c>
      <c r="AD87" s="54">
        <v>151057.0</v>
      </c>
      <c r="AE87" s="13"/>
      <c r="AF87" s="54" t="s">
        <v>420</v>
      </c>
      <c r="AG87" s="54">
        <v>104477.0</v>
      </c>
      <c r="AH87" s="13"/>
      <c r="AI87" s="54" t="s">
        <v>417</v>
      </c>
      <c r="AJ87" s="54">
        <v>36205.0</v>
      </c>
      <c r="AK87" s="13"/>
      <c r="AL87" s="54" t="s">
        <v>417</v>
      </c>
      <c r="AM87" s="54">
        <v>38382.0</v>
      </c>
      <c r="AN87" s="13"/>
      <c r="AO87" s="54" t="s">
        <v>417</v>
      </c>
      <c r="AP87" s="54">
        <v>32533.0</v>
      </c>
      <c r="AQ87" s="13"/>
      <c r="AR87" s="54" t="s">
        <v>417</v>
      </c>
      <c r="AS87" s="54">
        <v>38327.0</v>
      </c>
      <c r="AT87" s="13"/>
    </row>
    <row r="88">
      <c r="A88" s="13" t="s">
        <v>418</v>
      </c>
      <c r="B88" s="84">
        <f t="shared" si="1"/>
        <v>474364</v>
      </c>
      <c r="C88" s="13"/>
      <c r="D88" s="13" t="s">
        <v>81</v>
      </c>
      <c r="E88" s="84">
        <v>1557646.0</v>
      </c>
      <c r="F88" s="13"/>
      <c r="G88" s="13"/>
      <c r="H88" s="13"/>
      <c r="I88" s="13"/>
      <c r="J88" s="13"/>
      <c r="K88" s="54" t="s">
        <v>423</v>
      </c>
      <c r="L88" s="54">
        <v>78500.0</v>
      </c>
      <c r="M88" s="13"/>
      <c r="N88" s="96" t="s">
        <v>423</v>
      </c>
      <c r="O88" s="97">
        <v>77288.0</v>
      </c>
      <c r="P88" s="13"/>
      <c r="Q88" s="54" t="s">
        <v>423</v>
      </c>
      <c r="R88" s="54">
        <v>89495.0</v>
      </c>
      <c r="S88" s="13"/>
      <c r="T88" s="54" t="s">
        <v>423</v>
      </c>
      <c r="U88" s="54">
        <v>84114.0</v>
      </c>
      <c r="V88" s="13"/>
      <c r="W88" s="54" t="s">
        <v>423</v>
      </c>
      <c r="X88" s="54">
        <v>88056.0</v>
      </c>
      <c r="Y88" s="13"/>
      <c r="Z88" s="54" t="s">
        <v>422</v>
      </c>
      <c r="AA88" s="54">
        <v>49456.0</v>
      </c>
      <c r="AB88" s="13"/>
      <c r="AC88" s="54" t="s">
        <v>422</v>
      </c>
      <c r="AD88" s="54">
        <v>48310.0</v>
      </c>
      <c r="AE88" s="13"/>
      <c r="AF88" s="54" t="s">
        <v>422</v>
      </c>
      <c r="AG88" s="54">
        <v>35339.0</v>
      </c>
      <c r="AH88" s="13"/>
      <c r="AI88" s="54" t="s">
        <v>418</v>
      </c>
      <c r="AJ88" s="54">
        <v>31637.0</v>
      </c>
      <c r="AK88" s="13"/>
      <c r="AL88" s="54" t="s">
        <v>418</v>
      </c>
      <c r="AM88" s="54">
        <v>31597.0</v>
      </c>
      <c r="AN88" s="13"/>
      <c r="AO88" s="54" t="s">
        <v>418</v>
      </c>
      <c r="AP88" s="54">
        <v>28152.0</v>
      </c>
      <c r="AQ88" s="13"/>
      <c r="AR88" s="54" t="s">
        <v>418</v>
      </c>
      <c r="AS88" s="54">
        <v>29954.0</v>
      </c>
      <c r="AT88" s="13"/>
    </row>
    <row r="89">
      <c r="A89" s="13" t="s">
        <v>419</v>
      </c>
      <c r="B89" s="84">
        <f t="shared" si="1"/>
        <v>408698</v>
      </c>
      <c r="C89" s="13"/>
      <c r="D89" s="13" t="s">
        <v>229</v>
      </c>
      <c r="E89" s="84">
        <v>1928865.0</v>
      </c>
      <c r="F89" s="13"/>
      <c r="G89" s="13"/>
      <c r="H89" s="13"/>
      <c r="I89" s="13"/>
      <c r="J89" s="13"/>
      <c r="K89" s="54" t="s">
        <v>424</v>
      </c>
      <c r="L89" s="54">
        <v>216103.0</v>
      </c>
      <c r="M89" s="13"/>
      <c r="N89" s="96" t="s">
        <v>424</v>
      </c>
      <c r="O89" s="97">
        <v>208256.0</v>
      </c>
      <c r="P89" s="13"/>
      <c r="Q89" s="54" t="s">
        <v>424</v>
      </c>
      <c r="R89" s="54">
        <v>239001.0</v>
      </c>
      <c r="S89" s="13"/>
      <c r="T89" s="54" t="s">
        <v>424</v>
      </c>
      <c r="U89" s="54">
        <v>230102.0</v>
      </c>
      <c r="V89" s="13"/>
      <c r="W89" s="54" t="s">
        <v>424</v>
      </c>
      <c r="X89" s="54">
        <v>228829.0</v>
      </c>
      <c r="Y89" s="13"/>
      <c r="Z89" s="54" t="s">
        <v>423</v>
      </c>
      <c r="AA89" s="54">
        <v>113193.0</v>
      </c>
      <c r="AB89" s="13"/>
      <c r="AC89" s="54" t="s">
        <v>423</v>
      </c>
      <c r="AD89" s="54">
        <v>120619.0</v>
      </c>
      <c r="AE89" s="13"/>
      <c r="AF89" s="54" t="s">
        <v>423</v>
      </c>
      <c r="AG89" s="54">
        <v>83270.0</v>
      </c>
      <c r="AH89" s="13"/>
      <c r="AI89" s="54" t="s">
        <v>419</v>
      </c>
      <c r="AJ89" s="54">
        <v>30381.0</v>
      </c>
      <c r="AK89" s="13"/>
      <c r="AL89" s="54" t="s">
        <v>419</v>
      </c>
      <c r="AM89" s="54">
        <v>31625.0</v>
      </c>
      <c r="AN89" s="13"/>
      <c r="AO89" s="54" t="s">
        <v>419</v>
      </c>
      <c r="AP89" s="54">
        <v>26685.0</v>
      </c>
      <c r="AQ89" s="13"/>
      <c r="AR89" s="54" t="s">
        <v>419</v>
      </c>
      <c r="AS89" s="54">
        <v>30703.0</v>
      </c>
      <c r="AT89" s="13"/>
    </row>
    <row r="90">
      <c r="A90" s="13" t="s">
        <v>421</v>
      </c>
      <c r="B90" s="84">
        <f t="shared" si="1"/>
        <v>429025</v>
      </c>
      <c r="C90" s="13"/>
      <c r="D90" s="13" t="s">
        <v>213</v>
      </c>
      <c r="E90" s="84">
        <v>1095750.0</v>
      </c>
      <c r="F90" s="13"/>
      <c r="G90" s="13"/>
      <c r="H90" s="13"/>
      <c r="I90" s="13"/>
      <c r="J90" s="13"/>
      <c r="K90" s="54" t="s">
        <v>425</v>
      </c>
      <c r="L90" s="54">
        <v>104316.0</v>
      </c>
      <c r="M90" s="13"/>
      <c r="N90" s="96" t="s">
        <v>425</v>
      </c>
      <c r="O90" s="97">
        <v>93676.0</v>
      </c>
      <c r="P90" s="13"/>
      <c r="Q90" s="54" t="s">
        <v>425</v>
      </c>
      <c r="R90" s="54">
        <v>103467.0</v>
      </c>
      <c r="S90" s="13"/>
      <c r="T90" s="54" t="s">
        <v>425</v>
      </c>
      <c r="U90" s="54">
        <v>101834.0</v>
      </c>
      <c r="V90" s="13"/>
      <c r="W90" s="54" t="s">
        <v>425</v>
      </c>
      <c r="X90" s="54">
        <v>101190.0</v>
      </c>
      <c r="Y90" s="13"/>
      <c r="Z90" s="54" t="s">
        <v>424</v>
      </c>
      <c r="AA90" s="54">
        <v>285369.0</v>
      </c>
      <c r="AB90" s="13"/>
      <c r="AC90" s="54" t="s">
        <v>424</v>
      </c>
      <c r="AD90" s="54">
        <v>329634.0</v>
      </c>
      <c r="AE90" s="13"/>
      <c r="AF90" s="54" t="s">
        <v>424</v>
      </c>
      <c r="AG90" s="54">
        <v>229062.0</v>
      </c>
      <c r="AH90" s="13"/>
      <c r="AI90" s="54" t="s">
        <v>421</v>
      </c>
      <c r="AJ90" s="54">
        <v>58914.0</v>
      </c>
      <c r="AK90" s="13"/>
      <c r="AL90" s="54" t="s">
        <v>421</v>
      </c>
      <c r="AM90" s="54">
        <v>61629.0</v>
      </c>
      <c r="AN90" s="13"/>
      <c r="AO90" s="54" t="s">
        <v>421</v>
      </c>
      <c r="AP90" s="54">
        <v>58900.0</v>
      </c>
      <c r="AQ90" s="13"/>
      <c r="AR90" s="54" t="s">
        <v>421</v>
      </c>
      <c r="AS90" s="54">
        <v>63817.0</v>
      </c>
      <c r="AT90" s="13"/>
    </row>
    <row r="91">
      <c r="A91" s="13" t="s">
        <v>420</v>
      </c>
      <c r="B91" s="84">
        <f t="shared" si="1"/>
        <v>1387341</v>
      </c>
      <c r="C91" s="13"/>
      <c r="D91" s="13" t="s">
        <v>47</v>
      </c>
      <c r="E91" s="84">
        <v>476471.0</v>
      </c>
      <c r="F91" s="13"/>
      <c r="G91" s="13"/>
      <c r="H91" s="13"/>
      <c r="I91" s="13"/>
      <c r="J91" s="13"/>
      <c r="K91" s="54" t="s">
        <v>426</v>
      </c>
      <c r="L91" s="54">
        <v>95786.0</v>
      </c>
      <c r="M91" s="13"/>
      <c r="N91" s="96" t="s">
        <v>426</v>
      </c>
      <c r="O91" s="97">
        <v>89328.0</v>
      </c>
      <c r="P91" s="13"/>
      <c r="Q91" s="54" t="s">
        <v>426</v>
      </c>
      <c r="R91" s="54">
        <v>104079.0</v>
      </c>
      <c r="S91" s="13"/>
      <c r="T91" s="54" t="s">
        <v>426</v>
      </c>
      <c r="U91" s="54">
        <v>99794.0</v>
      </c>
      <c r="V91" s="13"/>
      <c r="W91" s="54" t="s">
        <v>426</v>
      </c>
      <c r="X91" s="54">
        <v>103581.0</v>
      </c>
      <c r="Y91" s="13"/>
      <c r="Z91" s="54" t="s">
        <v>425</v>
      </c>
      <c r="AA91" s="54">
        <v>124022.0</v>
      </c>
      <c r="AB91" s="13"/>
      <c r="AC91" s="54" t="s">
        <v>425</v>
      </c>
      <c r="AD91" s="54">
        <v>125442.0</v>
      </c>
      <c r="AE91" s="13"/>
      <c r="AF91" s="54" t="s">
        <v>425</v>
      </c>
      <c r="AG91" s="54">
        <v>88290.0</v>
      </c>
      <c r="AH91" s="13"/>
      <c r="AI91" s="54" t="s">
        <v>420</v>
      </c>
      <c r="AJ91" s="54">
        <v>114705.0</v>
      </c>
      <c r="AK91" s="13"/>
      <c r="AL91" s="54" t="s">
        <v>420</v>
      </c>
      <c r="AM91" s="54">
        <v>122539.0</v>
      </c>
      <c r="AN91" s="13"/>
      <c r="AO91" s="54" t="s">
        <v>420</v>
      </c>
      <c r="AP91" s="54">
        <v>93275.0</v>
      </c>
      <c r="AQ91" s="13"/>
      <c r="AR91" s="54" t="s">
        <v>420</v>
      </c>
      <c r="AS91" s="54">
        <v>101963.0</v>
      </c>
      <c r="AT91" s="13"/>
    </row>
    <row r="92">
      <c r="A92" s="13" t="s">
        <v>422</v>
      </c>
      <c r="B92" s="84">
        <f t="shared" si="1"/>
        <v>453588</v>
      </c>
      <c r="C92" s="13"/>
      <c r="D92" s="13" t="s">
        <v>161</v>
      </c>
      <c r="E92" s="84">
        <v>655116.0</v>
      </c>
      <c r="F92" s="13"/>
      <c r="G92" s="13"/>
      <c r="H92" s="13"/>
      <c r="I92" s="13"/>
      <c r="J92" s="13"/>
      <c r="K92" s="54" t="s">
        <v>427</v>
      </c>
      <c r="L92" s="54">
        <v>57589.0</v>
      </c>
      <c r="M92" s="13"/>
      <c r="N92" s="96" t="s">
        <v>427</v>
      </c>
      <c r="O92" s="97">
        <v>52224.0</v>
      </c>
      <c r="P92" s="13"/>
      <c r="Q92" s="54" t="s">
        <v>427</v>
      </c>
      <c r="R92" s="54">
        <v>58211.0</v>
      </c>
      <c r="S92" s="13"/>
      <c r="T92" s="54" t="s">
        <v>427</v>
      </c>
      <c r="U92" s="54">
        <v>57560.0</v>
      </c>
      <c r="V92" s="13"/>
      <c r="W92" s="54" t="s">
        <v>427</v>
      </c>
      <c r="X92" s="54">
        <v>51182.0</v>
      </c>
      <c r="Y92" s="13"/>
      <c r="Z92" s="54" t="s">
        <v>426</v>
      </c>
      <c r="AA92" s="54">
        <v>130436.0</v>
      </c>
      <c r="AB92" s="13"/>
      <c r="AC92" s="54" t="s">
        <v>426</v>
      </c>
      <c r="AD92" s="54">
        <v>138535.0</v>
      </c>
      <c r="AE92" s="13"/>
      <c r="AF92" s="54" t="s">
        <v>426</v>
      </c>
      <c r="AG92" s="54">
        <v>92237.0</v>
      </c>
      <c r="AH92" s="13"/>
      <c r="AI92" s="54" t="s">
        <v>422</v>
      </c>
      <c r="AJ92" s="54">
        <v>32672.0</v>
      </c>
      <c r="AK92" s="13"/>
      <c r="AL92" s="54" t="s">
        <v>422</v>
      </c>
      <c r="AM92" s="54">
        <v>38731.0</v>
      </c>
      <c r="AN92" s="13"/>
      <c r="AO92" s="54" t="s">
        <v>422</v>
      </c>
      <c r="AP92" s="54">
        <v>32496.0</v>
      </c>
      <c r="AQ92" s="13"/>
      <c r="AR92" s="54" t="s">
        <v>422</v>
      </c>
      <c r="AS92" s="54">
        <v>38533.0</v>
      </c>
      <c r="AT92" s="13"/>
    </row>
    <row r="93">
      <c r="A93" s="13" t="s">
        <v>423</v>
      </c>
      <c r="B93" s="84">
        <f t="shared" si="1"/>
        <v>1054997</v>
      </c>
      <c r="C93" s="13"/>
      <c r="D93" s="13" t="s">
        <v>207</v>
      </c>
      <c r="E93" s="84">
        <v>810409.0</v>
      </c>
      <c r="F93" s="13"/>
      <c r="G93" s="13"/>
      <c r="H93" s="13"/>
      <c r="I93" s="13"/>
      <c r="J93" s="13"/>
      <c r="K93" s="54" t="s">
        <v>428</v>
      </c>
      <c r="L93" s="54">
        <v>64743.0</v>
      </c>
      <c r="M93" s="13"/>
      <c r="N93" s="96" t="s">
        <v>428</v>
      </c>
      <c r="O93" s="97">
        <v>64276.0</v>
      </c>
      <c r="P93" s="13"/>
      <c r="Q93" s="54" t="s">
        <v>428</v>
      </c>
      <c r="R93" s="54">
        <v>73321.0</v>
      </c>
      <c r="S93" s="13"/>
      <c r="T93" s="54" t="s">
        <v>428</v>
      </c>
      <c r="U93" s="54">
        <v>69928.0</v>
      </c>
      <c r="V93" s="13"/>
      <c r="W93" s="54" t="s">
        <v>428</v>
      </c>
      <c r="X93" s="54">
        <v>63598.0</v>
      </c>
      <c r="Y93" s="13"/>
      <c r="Z93" s="54" t="s">
        <v>427</v>
      </c>
      <c r="AA93" s="54">
        <v>51905.0</v>
      </c>
      <c r="AB93" s="13"/>
      <c r="AC93" s="54" t="s">
        <v>427</v>
      </c>
      <c r="AD93" s="54">
        <v>57709.0</v>
      </c>
      <c r="AE93" s="13"/>
      <c r="AF93" s="54" t="s">
        <v>427</v>
      </c>
      <c r="AG93" s="54">
        <v>48048.0</v>
      </c>
      <c r="AH93" s="13"/>
      <c r="AI93" s="54" t="s">
        <v>423</v>
      </c>
      <c r="AJ93" s="54">
        <v>80361.0</v>
      </c>
      <c r="AK93" s="13"/>
      <c r="AL93" s="54" t="s">
        <v>423</v>
      </c>
      <c r="AM93" s="54">
        <v>82610.0</v>
      </c>
      <c r="AN93" s="13"/>
      <c r="AO93" s="54" t="s">
        <v>423</v>
      </c>
      <c r="AP93" s="54">
        <v>72925.0</v>
      </c>
      <c r="AQ93" s="13"/>
      <c r="AR93" s="54" t="s">
        <v>423</v>
      </c>
      <c r="AS93" s="54">
        <v>84566.0</v>
      </c>
      <c r="AT93" s="13"/>
    </row>
    <row r="94">
      <c r="A94" s="13" t="s">
        <v>424</v>
      </c>
      <c r="B94" s="84">
        <f t="shared" si="1"/>
        <v>2897708</v>
      </c>
      <c r="C94" s="13"/>
      <c r="D94" s="13" t="s">
        <v>215</v>
      </c>
      <c r="E94" s="84">
        <v>755135.0</v>
      </c>
      <c r="F94" s="13"/>
      <c r="G94" s="13"/>
      <c r="H94" s="13"/>
      <c r="I94" s="13"/>
      <c r="J94" s="13"/>
      <c r="K94" s="54" t="s">
        <v>429</v>
      </c>
      <c r="L94" s="54">
        <v>55268.0</v>
      </c>
      <c r="M94" s="13"/>
      <c r="N94" s="96" t="s">
        <v>429</v>
      </c>
      <c r="O94" s="97">
        <v>59092.0</v>
      </c>
      <c r="P94" s="13"/>
      <c r="Q94" s="54" t="s">
        <v>429</v>
      </c>
      <c r="R94" s="54">
        <v>61981.0</v>
      </c>
      <c r="S94" s="13"/>
      <c r="T94" s="54" t="s">
        <v>429</v>
      </c>
      <c r="U94" s="54">
        <v>63322.0</v>
      </c>
      <c r="V94" s="13"/>
      <c r="W94" s="54" t="s">
        <v>429</v>
      </c>
      <c r="X94" s="54">
        <v>58081.0</v>
      </c>
      <c r="Y94" s="13"/>
      <c r="Z94" s="54" t="s">
        <v>428</v>
      </c>
      <c r="AA94" s="54">
        <v>66670.0</v>
      </c>
      <c r="AB94" s="13"/>
      <c r="AC94" s="54" t="s">
        <v>428</v>
      </c>
      <c r="AD94" s="54">
        <v>76403.0</v>
      </c>
      <c r="AE94" s="13"/>
      <c r="AF94" s="54" t="s">
        <v>428</v>
      </c>
      <c r="AG94" s="54">
        <v>62749.0</v>
      </c>
      <c r="AH94" s="13"/>
      <c r="AI94" s="54" t="s">
        <v>424</v>
      </c>
      <c r="AJ94" s="54">
        <v>225919.0</v>
      </c>
      <c r="AK94" s="13"/>
      <c r="AL94" s="54" t="s">
        <v>424</v>
      </c>
      <c r="AM94" s="54">
        <v>254023.0</v>
      </c>
      <c r="AN94" s="13"/>
      <c r="AO94" s="54" t="s">
        <v>424</v>
      </c>
      <c r="AP94" s="54">
        <v>208578.0</v>
      </c>
      <c r="AQ94" s="13"/>
      <c r="AR94" s="54" t="s">
        <v>424</v>
      </c>
      <c r="AS94" s="54">
        <v>242832.0</v>
      </c>
      <c r="AT94" s="13"/>
    </row>
    <row r="95">
      <c r="A95" s="13" t="s">
        <v>425</v>
      </c>
      <c r="B95" s="84">
        <f t="shared" si="1"/>
        <v>1204612</v>
      </c>
      <c r="C95" s="13"/>
      <c r="D95" s="13" t="s">
        <v>51</v>
      </c>
      <c r="E95" s="84">
        <v>536723.0</v>
      </c>
      <c r="F95" s="13"/>
      <c r="G95" s="13"/>
      <c r="H95" s="13"/>
      <c r="I95" s="13"/>
      <c r="J95" s="13"/>
      <c r="K95" s="54" t="s">
        <v>430</v>
      </c>
      <c r="L95" s="54">
        <v>67181.0</v>
      </c>
      <c r="M95" s="13"/>
      <c r="N95" s="96" t="s">
        <v>430</v>
      </c>
      <c r="O95" s="97">
        <v>62620.0</v>
      </c>
      <c r="P95" s="13"/>
      <c r="Q95" s="54" t="s">
        <v>430</v>
      </c>
      <c r="R95" s="54">
        <v>74870.0</v>
      </c>
      <c r="S95" s="13"/>
      <c r="T95" s="54" t="s">
        <v>430</v>
      </c>
      <c r="U95" s="54">
        <v>71076.0</v>
      </c>
      <c r="V95" s="13"/>
      <c r="W95" s="54" t="s">
        <v>430</v>
      </c>
      <c r="X95" s="54">
        <v>64132.0</v>
      </c>
      <c r="Y95" s="13"/>
      <c r="Z95" s="54" t="s">
        <v>429</v>
      </c>
      <c r="AA95" s="54">
        <v>68719.0</v>
      </c>
      <c r="AB95" s="13"/>
      <c r="AC95" s="54" t="s">
        <v>429</v>
      </c>
      <c r="AD95" s="54">
        <v>71728.0</v>
      </c>
      <c r="AE95" s="13"/>
      <c r="AF95" s="54" t="s">
        <v>429</v>
      </c>
      <c r="AG95" s="54">
        <v>66051.0</v>
      </c>
      <c r="AH95" s="13"/>
      <c r="AI95" s="54" t="s">
        <v>425</v>
      </c>
      <c r="AJ95" s="54">
        <v>88015.0</v>
      </c>
      <c r="AK95" s="13"/>
      <c r="AL95" s="54" t="s">
        <v>425</v>
      </c>
      <c r="AM95" s="54">
        <v>92483.0</v>
      </c>
      <c r="AN95" s="13"/>
      <c r="AO95" s="54" t="s">
        <v>425</v>
      </c>
      <c r="AP95" s="54">
        <v>86297.0</v>
      </c>
      <c r="AQ95" s="13"/>
      <c r="AR95" s="54" t="s">
        <v>425</v>
      </c>
      <c r="AS95" s="54">
        <v>95580.0</v>
      </c>
      <c r="AT95" s="13"/>
    </row>
    <row r="96">
      <c r="A96" s="13" t="s">
        <v>426</v>
      </c>
      <c r="B96" s="84">
        <f t="shared" si="1"/>
        <v>1239086</v>
      </c>
      <c r="C96" s="13"/>
      <c r="D96" s="13" t="s">
        <v>77</v>
      </c>
      <c r="E96" s="84">
        <v>247712.0</v>
      </c>
      <c r="F96" s="13"/>
      <c r="G96" s="13"/>
      <c r="H96" s="13"/>
      <c r="I96" s="13"/>
      <c r="J96" s="13"/>
      <c r="K96" s="54" t="s">
        <v>431</v>
      </c>
      <c r="L96" s="54">
        <v>70700.0</v>
      </c>
      <c r="M96" s="13"/>
      <c r="N96" s="96" t="s">
        <v>431</v>
      </c>
      <c r="O96" s="97">
        <v>67924.0</v>
      </c>
      <c r="P96" s="13"/>
      <c r="Q96" s="54" t="s">
        <v>431</v>
      </c>
      <c r="R96" s="54">
        <v>79928.0</v>
      </c>
      <c r="S96" s="13"/>
      <c r="T96" s="54" t="s">
        <v>431</v>
      </c>
      <c r="U96" s="54">
        <v>74806.0</v>
      </c>
      <c r="V96" s="13"/>
      <c r="W96" s="54" t="s">
        <v>431</v>
      </c>
      <c r="X96" s="54">
        <v>70134.0</v>
      </c>
      <c r="Y96" s="13"/>
      <c r="Z96" s="54" t="s">
        <v>430</v>
      </c>
      <c r="AA96" s="54">
        <v>69295.0</v>
      </c>
      <c r="AB96" s="13"/>
      <c r="AC96" s="54" t="s">
        <v>430</v>
      </c>
      <c r="AD96" s="54">
        <v>76771.0</v>
      </c>
      <c r="AE96" s="13"/>
      <c r="AF96" s="54" t="s">
        <v>430</v>
      </c>
      <c r="AG96" s="54">
        <v>64229.0</v>
      </c>
      <c r="AH96" s="13"/>
      <c r="AI96" s="54" t="s">
        <v>426</v>
      </c>
      <c r="AJ96" s="54">
        <v>94761.0</v>
      </c>
      <c r="AK96" s="13"/>
      <c r="AL96" s="54" t="s">
        <v>426</v>
      </c>
      <c r="AM96" s="54">
        <v>104343.0</v>
      </c>
      <c r="AN96" s="13"/>
      <c r="AO96" s="54" t="s">
        <v>426</v>
      </c>
      <c r="AP96" s="54">
        <v>81933.0</v>
      </c>
      <c r="AQ96" s="13"/>
      <c r="AR96" s="54" t="s">
        <v>426</v>
      </c>
      <c r="AS96" s="54">
        <v>104273.0</v>
      </c>
      <c r="AT96" s="13"/>
    </row>
    <row r="97">
      <c r="A97" s="13" t="s">
        <v>427</v>
      </c>
      <c r="B97" s="84">
        <f t="shared" si="1"/>
        <v>655116</v>
      </c>
      <c r="C97" s="13"/>
      <c r="D97" s="13" t="s">
        <v>19</v>
      </c>
      <c r="E97" s="84">
        <v>310851.0</v>
      </c>
      <c r="F97" s="13"/>
      <c r="G97" s="13"/>
      <c r="H97" s="13"/>
      <c r="I97" s="13"/>
      <c r="J97" s="13"/>
      <c r="K97" s="54" t="s">
        <v>432</v>
      </c>
      <c r="L97" s="54">
        <v>99112.0</v>
      </c>
      <c r="M97" s="13"/>
      <c r="N97" s="96" t="s">
        <v>432</v>
      </c>
      <c r="O97" s="97">
        <v>96272.0</v>
      </c>
      <c r="P97" s="13"/>
      <c r="Q97" s="54" t="s">
        <v>432</v>
      </c>
      <c r="R97" s="54">
        <v>102365.0</v>
      </c>
      <c r="S97" s="13"/>
      <c r="T97" s="54" t="s">
        <v>432</v>
      </c>
      <c r="U97" s="54">
        <v>108178.0</v>
      </c>
      <c r="V97" s="13"/>
      <c r="W97" s="54" t="s">
        <v>432</v>
      </c>
      <c r="X97" s="54">
        <v>97853.0</v>
      </c>
      <c r="Y97" s="13"/>
      <c r="Z97" s="54" t="s">
        <v>431</v>
      </c>
      <c r="AA97" s="54">
        <v>80860.0</v>
      </c>
      <c r="AB97" s="13"/>
      <c r="AC97" s="54" t="s">
        <v>431</v>
      </c>
      <c r="AD97" s="54">
        <v>94024.0</v>
      </c>
      <c r="AE97" s="13"/>
      <c r="AF97" s="54" t="s">
        <v>431</v>
      </c>
      <c r="AG97" s="54">
        <v>79823.0</v>
      </c>
      <c r="AH97" s="13"/>
      <c r="AI97" s="54" t="s">
        <v>427</v>
      </c>
      <c r="AJ97" s="54">
        <v>53394.0</v>
      </c>
      <c r="AK97" s="13"/>
      <c r="AL97" s="54" t="s">
        <v>427</v>
      </c>
      <c r="AM97" s="54">
        <v>54712.0</v>
      </c>
      <c r="AN97" s="13"/>
      <c r="AO97" s="54" t="s">
        <v>427</v>
      </c>
      <c r="AP97" s="54">
        <v>52956.0</v>
      </c>
      <c r="AQ97" s="13"/>
      <c r="AR97" s="54" t="s">
        <v>427</v>
      </c>
      <c r="AS97" s="54">
        <v>59626.0</v>
      </c>
      <c r="AT97" s="13"/>
    </row>
    <row r="98">
      <c r="A98" s="13" t="s">
        <v>428</v>
      </c>
      <c r="B98" s="84">
        <f t="shared" si="1"/>
        <v>810409</v>
      </c>
      <c r="C98" s="13"/>
      <c r="D98" s="13" t="s">
        <v>147</v>
      </c>
      <c r="E98" s="84">
        <v>145624.0</v>
      </c>
      <c r="F98" s="13"/>
      <c r="G98" s="13"/>
      <c r="H98" s="13"/>
      <c r="I98" s="13"/>
      <c r="J98" s="13"/>
      <c r="K98" s="54" t="s">
        <v>433</v>
      </c>
      <c r="L98" s="54">
        <v>80847.0</v>
      </c>
      <c r="M98" s="13"/>
      <c r="N98" s="96" t="s">
        <v>433</v>
      </c>
      <c r="O98" s="97">
        <v>83480.0</v>
      </c>
      <c r="P98" s="13"/>
      <c r="Q98" s="54" t="s">
        <v>433</v>
      </c>
      <c r="R98" s="54">
        <v>93222.0</v>
      </c>
      <c r="S98" s="13"/>
      <c r="T98" s="54" t="s">
        <v>433</v>
      </c>
      <c r="U98" s="54">
        <v>98116.0</v>
      </c>
      <c r="V98" s="13"/>
      <c r="W98" s="54" t="s">
        <v>433</v>
      </c>
      <c r="X98" s="54">
        <v>80029.0</v>
      </c>
      <c r="Y98" s="13"/>
      <c r="Z98" s="54" t="s">
        <v>432</v>
      </c>
      <c r="AA98" s="54">
        <v>111212.0</v>
      </c>
      <c r="AB98" s="13"/>
      <c r="AC98" s="54" t="s">
        <v>432</v>
      </c>
      <c r="AD98" s="54">
        <v>124365.0</v>
      </c>
      <c r="AE98" s="13"/>
      <c r="AF98" s="54" t="s">
        <v>432</v>
      </c>
      <c r="AG98" s="54">
        <v>111047.0</v>
      </c>
      <c r="AH98" s="13"/>
      <c r="AI98" s="54" t="s">
        <v>428</v>
      </c>
      <c r="AJ98" s="54">
        <v>68303.0</v>
      </c>
      <c r="AK98" s="13"/>
      <c r="AL98" s="54" t="s">
        <v>428</v>
      </c>
      <c r="AM98" s="54">
        <v>69069.0</v>
      </c>
      <c r="AN98" s="13"/>
      <c r="AO98" s="54" t="s">
        <v>428</v>
      </c>
      <c r="AP98" s="54">
        <v>59872.0</v>
      </c>
      <c r="AQ98" s="13"/>
      <c r="AR98" s="54" t="s">
        <v>428</v>
      </c>
      <c r="AS98" s="54">
        <v>71477.0</v>
      </c>
      <c r="AT98" s="13"/>
    </row>
    <row r="99">
      <c r="A99" s="13" t="s">
        <v>429</v>
      </c>
      <c r="B99" s="84">
        <f t="shared" si="1"/>
        <v>755135</v>
      </c>
      <c r="C99" s="13"/>
      <c r="D99" s="13" t="s">
        <v>131</v>
      </c>
      <c r="E99" s="84">
        <v>1660313.0</v>
      </c>
      <c r="F99" s="13"/>
      <c r="G99" s="13"/>
      <c r="H99" s="13"/>
      <c r="I99" s="13"/>
      <c r="J99" s="13"/>
      <c r="K99" s="54" t="s">
        <v>434</v>
      </c>
      <c r="L99" s="54">
        <v>173518.0</v>
      </c>
      <c r="M99" s="13"/>
      <c r="N99" s="96" t="s">
        <v>434</v>
      </c>
      <c r="O99" s="97">
        <v>169920.0</v>
      </c>
      <c r="P99" s="13"/>
      <c r="Q99" s="54" t="s">
        <v>434</v>
      </c>
      <c r="R99" s="54">
        <v>177136.0</v>
      </c>
      <c r="S99" s="13"/>
      <c r="T99" s="54" t="s">
        <v>434</v>
      </c>
      <c r="U99" s="54">
        <v>185502.0</v>
      </c>
      <c r="V99" s="13"/>
      <c r="W99" s="54" t="s">
        <v>434</v>
      </c>
      <c r="X99" s="54">
        <v>161203.0</v>
      </c>
      <c r="Y99" s="13"/>
      <c r="Z99" s="54" t="s">
        <v>433</v>
      </c>
      <c r="AA99" s="54">
        <v>88929.0</v>
      </c>
      <c r="AB99" s="13"/>
      <c r="AC99" s="54" t="s">
        <v>433</v>
      </c>
      <c r="AD99" s="54">
        <v>108419.0</v>
      </c>
      <c r="AE99" s="13"/>
      <c r="AF99" s="54" t="s">
        <v>433</v>
      </c>
      <c r="AG99" s="54">
        <v>101900.0</v>
      </c>
      <c r="AH99" s="13"/>
      <c r="AI99" s="54" t="s">
        <v>429</v>
      </c>
      <c r="AJ99" s="54">
        <v>66130.0</v>
      </c>
      <c r="AK99" s="13"/>
      <c r="AL99" s="54" t="s">
        <v>429</v>
      </c>
      <c r="AM99" s="54">
        <v>67574.0</v>
      </c>
      <c r="AN99" s="13"/>
      <c r="AO99" s="54" t="s">
        <v>429</v>
      </c>
      <c r="AP99" s="54">
        <v>52918.0</v>
      </c>
      <c r="AQ99" s="13"/>
      <c r="AR99" s="54" t="s">
        <v>429</v>
      </c>
      <c r="AS99" s="54">
        <v>64271.0</v>
      </c>
      <c r="AT99" s="13"/>
    </row>
    <row r="100">
      <c r="A100" s="13" t="s">
        <v>430</v>
      </c>
      <c r="B100" s="84">
        <f t="shared" si="1"/>
        <v>823932</v>
      </c>
      <c r="C100" s="13"/>
      <c r="D100" s="13" t="s">
        <v>169</v>
      </c>
      <c r="E100" s="84">
        <v>383654.0</v>
      </c>
      <c r="F100" s="13"/>
      <c r="G100" s="13"/>
      <c r="H100" s="13"/>
      <c r="I100" s="13"/>
      <c r="J100" s="13"/>
      <c r="K100" s="54" t="s">
        <v>435</v>
      </c>
      <c r="L100" s="54">
        <v>58418.0</v>
      </c>
      <c r="M100" s="13"/>
      <c r="N100" s="96" t="s">
        <v>435</v>
      </c>
      <c r="O100" s="97">
        <v>57396.0</v>
      </c>
      <c r="P100" s="13"/>
      <c r="Q100" s="54" t="s">
        <v>435</v>
      </c>
      <c r="R100" s="54">
        <v>66270.0</v>
      </c>
      <c r="S100" s="13"/>
      <c r="T100" s="54" t="s">
        <v>435</v>
      </c>
      <c r="U100" s="54">
        <v>59334.0</v>
      </c>
      <c r="V100" s="13"/>
      <c r="W100" s="54" t="s">
        <v>435</v>
      </c>
      <c r="X100" s="54">
        <v>62427.0</v>
      </c>
      <c r="Y100" s="13"/>
      <c r="Z100" s="54" t="s">
        <v>434</v>
      </c>
      <c r="AA100" s="54">
        <v>175718.0</v>
      </c>
      <c r="AB100" s="13"/>
      <c r="AC100" s="54" t="s">
        <v>434</v>
      </c>
      <c r="AD100" s="54">
        <v>200289.0</v>
      </c>
      <c r="AE100" s="13"/>
      <c r="AF100" s="54" t="s">
        <v>434</v>
      </c>
      <c r="AG100" s="54">
        <v>172380.0</v>
      </c>
      <c r="AH100" s="13"/>
      <c r="AI100" s="54" t="s">
        <v>430</v>
      </c>
      <c r="AJ100" s="54">
        <v>68396.0</v>
      </c>
      <c r="AK100" s="13"/>
      <c r="AL100" s="54" t="s">
        <v>430</v>
      </c>
      <c r="AM100" s="54">
        <v>73136.0</v>
      </c>
      <c r="AN100" s="13"/>
      <c r="AO100" s="54" t="s">
        <v>430</v>
      </c>
      <c r="AP100" s="54">
        <v>62068.0</v>
      </c>
      <c r="AQ100" s="13"/>
      <c r="AR100" s="54" t="s">
        <v>430</v>
      </c>
      <c r="AS100" s="54">
        <v>70158.0</v>
      </c>
      <c r="AT100" s="13"/>
    </row>
    <row r="101">
      <c r="A101" s="13" t="s">
        <v>431</v>
      </c>
      <c r="B101" s="84">
        <f t="shared" si="1"/>
        <v>916669</v>
      </c>
      <c r="C101" s="13"/>
      <c r="D101" s="13" t="s">
        <v>101</v>
      </c>
      <c r="E101" s="84">
        <v>470596.0</v>
      </c>
      <c r="F101" s="13"/>
      <c r="G101" s="13"/>
      <c r="H101" s="13"/>
      <c r="I101" s="13"/>
      <c r="J101" s="13"/>
      <c r="K101" s="54" t="s">
        <v>436</v>
      </c>
      <c r="L101" s="54">
        <v>21513.0</v>
      </c>
      <c r="M101" s="13"/>
      <c r="N101" s="96" t="s">
        <v>436</v>
      </c>
      <c r="O101" s="97">
        <v>22596.0</v>
      </c>
      <c r="P101" s="13"/>
      <c r="Q101" s="54" t="s">
        <v>436</v>
      </c>
      <c r="R101" s="54">
        <v>22309.0</v>
      </c>
      <c r="S101" s="13"/>
      <c r="T101" s="54" t="s">
        <v>436</v>
      </c>
      <c r="U101" s="54">
        <v>23124.0</v>
      </c>
      <c r="V101" s="13"/>
      <c r="W101" s="54" t="s">
        <v>436</v>
      </c>
      <c r="X101" s="54">
        <v>20695.0</v>
      </c>
      <c r="Y101" s="13"/>
      <c r="Z101" s="54" t="s">
        <v>437</v>
      </c>
      <c r="AA101" s="54">
        <v>23549.0</v>
      </c>
      <c r="AB101" s="13"/>
      <c r="AC101" s="54" t="s">
        <v>437</v>
      </c>
      <c r="AD101" s="54">
        <v>52913.0</v>
      </c>
      <c r="AE101" s="13"/>
      <c r="AF101" s="54" t="s">
        <v>437</v>
      </c>
      <c r="AG101" s="54">
        <v>56862.0</v>
      </c>
      <c r="AH101" s="13"/>
      <c r="AI101" s="54" t="s">
        <v>431</v>
      </c>
      <c r="AJ101" s="54">
        <v>76897.0</v>
      </c>
      <c r="AK101" s="13"/>
      <c r="AL101" s="54" t="s">
        <v>431</v>
      </c>
      <c r="AM101" s="54">
        <v>75385.0</v>
      </c>
      <c r="AN101" s="13"/>
      <c r="AO101" s="54" t="s">
        <v>431</v>
      </c>
      <c r="AP101" s="54">
        <v>68628.0</v>
      </c>
      <c r="AQ101" s="13"/>
      <c r="AR101" s="54" t="s">
        <v>431</v>
      </c>
      <c r="AS101" s="54">
        <v>77560.0</v>
      </c>
      <c r="AT101" s="13"/>
    </row>
    <row r="102">
      <c r="A102" s="13" t="s">
        <v>432</v>
      </c>
      <c r="B102" s="84">
        <f t="shared" si="1"/>
        <v>1283065</v>
      </c>
      <c r="C102" s="13"/>
      <c r="D102" s="13" t="s">
        <v>15</v>
      </c>
      <c r="E102" s="84">
        <v>1405270.0</v>
      </c>
      <c r="F102" s="13"/>
      <c r="G102" s="13"/>
      <c r="H102" s="13"/>
      <c r="I102" s="13"/>
      <c r="J102" s="13"/>
      <c r="K102" s="54" t="s">
        <v>438</v>
      </c>
      <c r="L102" s="54">
        <v>40371.0</v>
      </c>
      <c r="M102" s="13"/>
      <c r="N102" s="96" t="s">
        <v>438</v>
      </c>
      <c r="O102" s="97">
        <v>40444.0</v>
      </c>
      <c r="P102" s="13"/>
      <c r="Q102" s="54" t="s">
        <v>438</v>
      </c>
      <c r="R102" s="54">
        <v>45754.0</v>
      </c>
      <c r="S102" s="13"/>
      <c r="T102" s="54" t="s">
        <v>438</v>
      </c>
      <c r="U102" s="54">
        <v>41112.0</v>
      </c>
      <c r="V102" s="13"/>
      <c r="W102" s="54" t="s">
        <v>438</v>
      </c>
      <c r="X102" s="54">
        <v>43720.0</v>
      </c>
      <c r="Y102" s="13"/>
      <c r="Z102" s="54" t="s">
        <v>439</v>
      </c>
      <c r="AA102" s="54">
        <v>6776.0</v>
      </c>
      <c r="AB102" s="13"/>
      <c r="AC102" s="54" t="s">
        <v>439</v>
      </c>
      <c r="AD102" s="54">
        <v>8471.0</v>
      </c>
      <c r="AE102" s="13"/>
      <c r="AF102" s="54" t="s">
        <v>439</v>
      </c>
      <c r="AG102" s="54">
        <v>9677.0</v>
      </c>
      <c r="AH102" s="13"/>
      <c r="AI102" s="54" t="s">
        <v>432</v>
      </c>
      <c r="AJ102" s="54">
        <v>114062.0</v>
      </c>
      <c r="AK102" s="13"/>
      <c r="AL102" s="54" t="s">
        <v>432</v>
      </c>
      <c r="AM102" s="54">
        <v>117494.0</v>
      </c>
      <c r="AN102" s="13"/>
      <c r="AO102" s="54" t="s">
        <v>432</v>
      </c>
      <c r="AP102" s="54">
        <v>95649.0</v>
      </c>
      <c r="AQ102" s="13"/>
      <c r="AR102" s="54" t="s">
        <v>432</v>
      </c>
      <c r="AS102" s="54">
        <v>105456.0</v>
      </c>
      <c r="AT102" s="13"/>
    </row>
    <row r="103">
      <c r="A103" s="13" t="s">
        <v>433</v>
      </c>
      <c r="B103" s="84">
        <f t="shared" si="1"/>
        <v>1095750</v>
      </c>
      <c r="C103" s="13"/>
      <c r="D103" s="13" t="s">
        <v>185</v>
      </c>
      <c r="E103" s="84">
        <v>1158328.0</v>
      </c>
      <c r="F103" s="13"/>
      <c r="G103" s="13"/>
      <c r="H103" s="13"/>
      <c r="I103" s="13"/>
      <c r="J103" s="13"/>
      <c r="K103" s="54" t="s">
        <v>440</v>
      </c>
      <c r="L103" s="54">
        <v>111949.0</v>
      </c>
      <c r="M103" s="13"/>
      <c r="N103" s="96" t="s">
        <v>440</v>
      </c>
      <c r="O103" s="97">
        <v>105912.0</v>
      </c>
      <c r="P103" s="13"/>
      <c r="Q103" s="54" t="s">
        <v>440</v>
      </c>
      <c r="R103" s="54">
        <v>114311.0</v>
      </c>
      <c r="S103" s="13"/>
      <c r="T103" s="54" t="s">
        <v>440</v>
      </c>
      <c r="U103" s="54">
        <v>116092.0</v>
      </c>
      <c r="V103" s="13"/>
      <c r="W103" s="54" t="s">
        <v>440</v>
      </c>
      <c r="X103" s="54">
        <v>121046.0</v>
      </c>
      <c r="Y103" s="13"/>
      <c r="Z103" s="54" t="s">
        <v>441</v>
      </c>
      <c r="AA103" s="54">
        <v>6977.0</v>
      </c>
      <c r="AB103" s="13"/>
      <c r="AC103" s="54" t="s">
        <v>441</v>
      </c>
      <c r="AD103" s="54">
        <v>8122.0</v>
      </c>
      <c r="AE103" s="13"/>
      <c r="AF103" s="54" t="s">
        <v>441</v>
      </c>
      <c r="AG103" s="54">
        <v>8713.0</v>
      </c>
      <c r="AH103" s="13"/>
      <c r="AI103" s="54" t="s">
        <v>433</v>
      </c>
      <c r="AJ103" s="54">
        <v>92903.0</v>
      </c>
      <c r="AK103" s="13"/>
      <c r="AL103" s="54" t="s">
        <v>433</v>
      </c>
      <c r="AM103" s="54">
        <v>96122.0</v>
      </c>
      <c r="AN103" s="13"/>
      <c r="AO103" s="54" t="s">
        <v>433</v>
      </c>
      <c r="AP103" s="54">
        <v>81141.0</v>
      </c>
      <c r="AQ103" s="13"/>
      <c r="AR103" s="54" t="s">
        <v>433</v>
      </c>
      <c r="AS103" s="54">
        <v>90642.0</v>
      </c>
      <c r="AT103" s="13"/>
    </row>
    <row r="104">
      <c r="A104" s="13" t="s">
        <v>434</v>
      </c>
      <c r="B104" s="84">
        <f t="shared" si="1"/>
        <v>2126497</v>
      </c>
      <c r="C104" s="13"/>
      <c r="D104" s="13" t="s">
        <v>197</v>
      </c>
      <c r="E104" s="84">
        <v>339134.0</v>
      </c>
      <c r="F104" s="13"/>
      <c r="G104" s="13"/>
      <c r="H104" s="13"/>
      <c r="I104" s="13"/>
      <c r="J104" s="13"/>
      <c r="K104" s="54" t="s">
        <v>442</v>
      </c>
      <c r="L104" s="54">
        <v>60140.0</v>
      </c>
      <c r="M104" s="13"/>
      <c r="N104" s="96" t="s">
        <v>442</v>
      </c>
      <c r="O104" s="97">
        <v>50908.0</v>
      </c>
      <c r="P104" s="13"/>
      <c r="Q104" s="54" t="s">
        <v>442</v>
      </c>
      <c r="R104" s="54">
        <v>52974.0</v>
      </c>
      <c r="S104" s="13"/>
      <c r="T104" s="54" t="s">
        <v>442</v>
      </c>
      <c r="U104" s="54">
        <v>51938.0</v>
      </c>
      <c r="V104" s="13"/>
      <c r="W104" s="54" t="s">
        <v>442</v>
      </c>
      <c r="X104" s="54">
        <v>54789.0</v>
      </c>
      <c r="Y104" s="13"/>
      <c r="Z104" s="54" t="s">
        <v>443</v>
      </c>
      <c r="AA104" s="54">
        <v>15567.0</v>
      </c>
      <c r="AB104" s="13"/>
      <c r="AC104" s="54" t="s">
        <v>443</v>
      </c>
      <c r="AD104" s="54">
        <v>12790.0</v>
      </c>
      <c r="AE104" s="13"/>
      <c r="AF104" s="54" t="s">
        <v>443</v>
      </c>
      <c r="AG104" s="54">
        <v>14037.0</v>
      </c>
      <c r="AH104" s="13"/>
      <c r="AI104" s="54" t="s">
        <v>434</v>
      </c>
      <c r="AJ104" s="54">
        <v>175117.0</v>
      </c>
      <c r="AK104" s="13"/>
      <c r="AL104" s="54" t="s">
        <v>434</v>
      </c>
      <c r="AM104" s="54">
        <v>189132.0</v>
      </c>
      <c r="AN104" s="13"/>
      <c r="AO104" s="54" t="s">
        <v>434</v>
      </c>
      <c r="AP104" s="54">
        <v>171189.0</v>
      </c>
      <c r="AQ104" s="13"/>
      <c r="AR104" s="54" t="s">
        <v>434</v>
      </c>
      <c r="AS104" s="54">
        <v>175393.0</v>
      </c>
      <c r="AT104" s="13"/>
    </row>
    <row r="105">
      <c r="A105" s="13" t="s">
        <v>435</v>
      </c>
      <c r="B105" s="84">
        <f t="shared" si="1"/>
        <v>541524</v>
      </c>
      <c r="C105" s="13"/>
      <c r="D105" s="13" t="s">
        <v>177</v>
      </c>
      <c r="E105" s="84">
        <v>577178.0</v>
      </c>
      <c r="F105" s="13"/>
      <c r="G105" s="13"/>
      <c r="H105" s="13"/>
      <c r="I105" s="13"/>
      <c r="J105" s="13"/>
      <c r="K105" s="54" t="s">
        <v>444</v>
      </c>
      <c r="L105" s="54">
        <v>49266.0</v>
      </c>
      <c r="M105" s="13"/>
      <c r="N105" s="96" t="s">
        <v>444</v>
      </c>
      <c r="O105" s="97">
        <v>46256.0</v>
      </c>
      <c r="P105" s="13"/>
      <c r="Q105" s="54" t="s">
        <v>444</v>
      </c>
      <c r="R105" s="54">
        <v>53250.0</v>
      </c>
      <c r="S105" s="13"/>
      <c r="T105" s="54" t="s">
        <v>444</v>
      </c>
      <c r="U105" s="54">
        <v>53212.0</v>
      </c>
      <c r="V105" s="13"/>
      <c r="W105" s="54" t="s">
        <v>444</v>
      </c>
      <c r="X105" s="54">
        <v>53264.0</v>
      </c>
      <c r="Y105" s="13"/>
      <c r="Z105" s="54" t="s">
        <v>445</v>
      </c>
      <c r="AA105" s="54">
        <v>9820.0</v>
      </c>
      <c r="AB105" s="13"/>
      <c r="AC105" s="54" t="s">
        <v>445</v>
      </c>
      <c r="AD105" s="54">
        <v>8701.0</v>
      </c>
      <c r="AE105" s="13"/>
      <c r="AF105" s="54" t="s">
        <v>445</v>
      </c>
      <c r="AG105" s="54">
        <v>9306.0</v>
      </c>
      <c r="AH105" s="13"/>
      <c r="AI105" s="54" t="s">
        <v>435</v>
      </c>
      <c r="AJ105" s="54">
        <v>61855.0</v>
      </c>
      <c r="AK105" s="13"/>
      <c r="AL105" s="54" t="s">
        <v>435</v>
      </c>
      <c r="AM105" s="54">
        <v>54883.0</v>
      </c>
      <c r="AN105" s="13"/>
      <c r="AO105" s="54" t="s">
        <v>435</v>
      </c>
      <c r="AP105" s="54">
        <v>61684.0</v>
      </c>
      <c r="AQ105" s="13"/>
      <c r="AR105" s="54" t="s">
        <v>435</v>
      </c>
      <c r="AS105" s="54">
        <v>59257.0</v>
      </c>
      <c r="AT105" s="13"/>
    </row>
    <row r="106">
      <c r="A106" s="13" t="s">
        <v>436</v>
      </c>
      <c r="B106" s="84">
        <f t="shared" si="1"/>
        <v>187693</v>
      </c>
      <c r="C106" s="13"/>
      <c r="D106" s="13"/>
      <c r="E106" s="84"/>
      <c r="F106" s="13"/>
      <c r="G106" s="13"/>
      <c r="H106" s="13"/>
      <c r="I106" s="13"/>
      <c r="J106" s="13"/>
      <c r="K106" s="54" t="s">
        <v>446</v>
      </c>
      <c r="L106" s="54">
        <v>35515.0</v>
      </c>
      <c r="M106" s="13"/>
      <c r="N106" s="96" t="s">
        <v>446</v>
      </c>
      <c r="O106" s="97">
        <v>35936.0</v>
      </c>
      <c r="P106" s="13"/>
      <c r="Q106" s="54" t="s">
        <v>446</v>
      </c>
      <c r="R106" s="54">
        <v>38997.0</v>
      </c>
      <c r="S106" s="13"/>
      <c r="T106" s="54" t="s">
        <v>446</v>
      </c>
      <c r="U106" s="54">
        <v>40058.0</v>
      </c>
      <c r="V106" s="13"/>
      <c r="W106" s="54" t="s">
        <v>446</v>
      </c>
      <c r="X106" s="54">
        <v>39419.0</v>
      </c>
      <c r="Y106" s="13"/>
      <c r="Z106" s="54" t="s">
        <v>447</v>
      </c>
      <c r="AA106" s="54">
        <v>12410.0</v>
      </c>
      <c r="AB106" s="13"/>
      <c r="AC106" s="54" t="s">
        <v>447</v>
      </c>
      <c r="AD106" s="54">
        <v>14593.0</v>
      </c>
      <c r="AE106" s="13"/>
      <c r="AF106" s="54" t="s">
        <v>447</v>
      </c>
      <c r="AG106" s="54">
        <v>15771.0</v>
      </c>
      <c r="AH106" s="13"/>
      <c r="AI106" s="54" t="s">
        <v>436</v>
      </c>
      <c r="AJ106" s="54">
        <v>17872.0</v>
      </c>
      <c r="AK106" s="13"/>
      <c r="AL106" s="54" t="s">
        <v>436</v>
      </c>
      <c r="AM106" s="54">
        <v>20466.0</v>
      </c>
      <c r="AN106" s="13"/>
      <c r="AO106" s="54" t="s">
        <v>436</v>
      </c>
      <c r="AP106" s="54">
        <v>21182.0</v>
      </c>
      <c r="AQ106" s="13"/>
      <c r="AR106" s="54" t="s">
        <v>436</v>
      </c>
      <c r="AS106" s="54">
        <v>17936.0</v>
      </c>
      <c r="AT106" s="13"/>
    </row>
    <row r="107">
      <c r="A107" s="13" t="s">
        <v>438</v>
      </c>
      <c r="B107" s="84">
        <f t="shared" si="1"/>
        <v>356859</v>
      </c>
      <c r="C107" s="13"/>
      <c r="D107" s="13"/>
      <c r="E107" s="84"/>
      <c r="F107" s="13"/>
      <c r="G107" s="13"/>
      <c r="H107" s="13"/>
      <c r="I107" s="13"/>
      <c r="J107" s="13"/>
      <c r="K107" s="54" t="s">
        <v>448</v>
      </c>
      <c r="L107" s="54">
        <v>66653.0</v>
      </c>
      <c r="M107" s="13"/>
      <c r="N107" s="96" t="s">
        <v>448</v>
      </c>
      <c r="O107" s="97">
        <v>60964.0</v>
      </c>
      <c r="P107" s="13"/>
      <c r="Q107" s="54" t="s">
        <v>448</v>
      </c>
      <c r="R107" s="54">
        <v>68728.0</v>
      </c>
      <c r="S107" s="13"/>
      <c r="T107" s="54" t="s">
        <v>448</v>
      </c>
      <c r="U107" s="54">
        <v>69546.0</v>
      </c>
      <c r="V107" s="13"/>
      <c r="W107" s="54" t="s">
        <v>448</v>
      </c>
      <c r="X107" s="54">
        <v>65664.0</v>
      </c>
      <c r="Y107" s="13"/>
      <c r="Z107" s="54" t="s">
        <v>449</v>
      </c>
      <c r="AA107" s="54">
        <v>17754.0</v>
      </c>
      <c r="AB107" s="13"/>
      <c r="AC107" s="54" t="s">
        <v>449</v>
      </c>
      <c r="AD107" s="54">
        <v>10862.0</v>
      </c>
      <c r="AE107" s="13"/>
      <c r="AF107" s="54" t="s">
        <v>449</v>
      </c>
      <c r="AG107" s="54">
        <v>11846.0</v>
      </c>
      <c r="AH107" s="13"/>
      <c r="AI107" s="54" t="s">
        <v>438</v>
      </c>
      <c r="AJ107" s="54">
        <v>36337.0</v>
      </c>
      <c r="AK107" s="13"/>
      <c r="AL107" s="54" t="s">
        <v>438</v>
      </c>
      <c r="AM107" s="54">
        <v>38601.0</v>
      </c>
      <c r="AN107" s="13"/>
      <c r="AO107" s="54" t="s">
        <v>438</v>
      </c>
      <c r="AP107" s="54">
        <v>35558.0</v>
      </c>
      <c r="AQ107" s="13"/>
      <c r="AR107" s="54" t="s">
        <v>438</v>
      </c>
      <c r="AS107" s="54">
        <v>34962.0</v>
      </c>
      <c r="AT107" s="13"/>
    </row>
    <row r="108">
      <c r="A108" s="13" t="s">
        <v>440</v>
      </c>
      <c r="B108" s="84">
        <f t="shared" si="1"/>
        <v>983361</v>
      </c>
      <c r="C108" s="13"/>
      <c r="D108" s="13"/>
      <c r="E108" s="84"/>
      <c r="F108" s="13"/>
      <c r="G108" s="13"/>
      <c r="H108" s="13"/>
      <c r="I108" s="13"/>
      <c r="J108" s="13"/>
      <c r="K108" s="54" t="s">
        <v>437</v>
      </c>
      <c r="L108" s="54">
        <v>32583.0</v>
      </c>
      <c r="M108" s="13"/>
      <c r="N108" s="96" t="s">
        <v>437</v>
      </c>
      <c r="O108" s="97">
        <v>31764.0</v>
      </c>
      <c r="P108" s="13"/>
      <c r="Q108" s="54" t="s">
        <v>437</v>
      </c>
      <c r="R108" s="54">
        <v>34524.0</v>
      </c>
      <c r="S108" s="13"/>
      <c r="T108" s="54" t="s">
        <v>437</v>
      </c>
      <c r="U108" s="54">
        <v>33828.0</v>
      </c>
      <c r="V108" s="13"/>
      <c r="W108" s="54" t="s">
        <v>437</v>
      </c>
      <c r="X108" s="54">
        <v>36275.0</v>
      </c>
      <c r="Y108" s="13"/>
      <c r="Z108" s="54" t="s">
        <v>450</v>
      </c>
      <c r="AA108" s="54">
        <v>40191.0</v>
      </c>
      <c r="AB108" s="13"/>
      <c r="AC108" s="54" t="s">
        <v>450</v>
      </c>
      <c r="AD108" s="54">
        <v>32196.0</v>
      </c>
      <c r="AE108" s="13"/>
      <c r="AF108" s="54" t="s">
        <v>450</v>
      </c>
      <c r="AG108" s="54">
        <v>36005.0</v>
      </c>
      <c r="AH108" s="13"/>
      <c r="AI108" s="54" t="s">
        <v>440</v>
      </c>
      <c r="AJ108" s="54">
        <v>99873.0</v>
      </c>
      <c r="AK108" s="13"/>
      <c r="AL108" s="54" t="s">
        <v>440</v>
      </c>
      <c r="AM108" s="54">
        <v>112189.0</v>
      </c>
      <c r="AN108" s="13"/>
      <c r="AO108" s="54" t="s">
        <v>440</v>
      </c>
      <c r="AP108" s="54">
        <v>98785.0</v>
      </c>
      <c r="AQ108" s="13"/>
      <c r="AR108" s="54" t="s">
        <v>440</v>
      </c>
      <c r="AS108" s="54">
        <v>103204.0</v>
      </c>
      <c r="AT108" s="13"/>
    </row>
    <row r="109">
      <c r="A109" s="13" t="s">
        <v>442</v>
      </c>
      <c r="B109" s="84">
        <f t="shared" si="1"/>
        <v>455701</v>
      </c>
      <c r="C109" s="13"/>
      <c r="D109" s="13"/>
      <c r="E109" s="84"/>
      <c r="F109" s="13"/>
      <c r="G109" s="13"/>
      <c r="H109" s="13"/>
      <c r="I109" s="13"/>
      <c r="J109" s="13"/>
      <c r="K109" s="54" t="s">
        <v>439</v>
      </c>
      <c r="L109" s="54">
        <v>7354.0</v>
      </c>
      <c r="M109" s="13"/>
      <c r="N109" s="96" t="s">
        <v>439</v>
      </c>
      <c r="O109" s="97">
        <v>7376.0</v>
      </c>
      <c r="P109" s="13"/>
      <c r="Q109" s="54" t="s">
        <v>439</v>
      </c>
      <c r="R109" s="54">
        <v>6526.0</v>
      </c>
      <c r="S109" s="13"/>
      <c r="T109" s="54" t="s">
        <v>439</v>
      </c>
      <c r="U109" s="54">
        <v>6732.0</v>
      </c>
      <c r="V109" s="13"/>
      <c r="W109" s="54" t="s">
        <v>439</v>
      </c>
      <c r="X109" s="54">
        <v>7156.0</v>
      </c>
      <c r="Y109" s="13"/>
      <c r="Z109" s="54" t="s">
        <v>451</v>
      </c>
      <c r="AA109" s="54">
        <v>29937.0</v>
      </c>
      <c r="AB109" s="13"/>
      <c r="AC109" s="54" t="s">
        <v>451</v>
      </c>
      <c r="AD109" s="54">
        <v>28037.0</v>
      </c>
      <c r="AE109" s="13"/>
      <c r="AF109" s="54" t="s">
        <v>451</v>
      </c>
      <c r="AG109" s="54">
        <v>26759.0</v>
      </c>
      <c r="AH109" s="13"/>
      <c r="AI109" s="54" t="s">
        <v>442</v>
      </c>
      <c r="AJ109" s="54">
        <v>46076.0</v>
      </c>
      <c r="AK109" s="13"/>
      <c r="AL109" s="54" t="s">
        <v>442</v>
      </c>
      <c r="AM109" s="54">
        <v>47800.0</v>
      </c>
      <c r="AN109" s="13"/>
      <c r="AO109" s="54" t="s">
        <v>442</v>
      </c>
      <c r="AP109" s="54">
        <v>45987.0</v>
      </c>
      <c r="AQ109" s="13"/>
      <c r="AR109" s="54" t="s">
        <v>442</v>
      </c>
      <c r="AS109" s="54">
        <v>45089.0</v>
      </c>
      <c r="AT109" s="13"/>
    </row>
    <row r="110">
      <c r="A110" s="13" t="s">
        <v>444</v>
      </c>
      <c r="B110" s="84">
        <f t="shared" si="1"/>
        <v>449427</v>
      </c>
      <c r="C110" s="13"/>
      <c r="D110" s="13"/>
      <c r="E110" s="84"/>
      <c r="F110" s="13"/>
      <c r="G110" s="13"/>
      <c r="H110" s="13"/>
      <c r="I110" s="13"/>
      <c r="J110" s="13"/>
      <c r="K110" s="54" t="s">
        <v>441</v>
      </c>
      <c r="L110" s="54">
        <v>7009.0</v>
      </c>
      <c r="M110" s="13"/>
      <c r="N110" s="96" t="s">
        <v>441</v>
      </c>
      <c r="O110" s="97">
        <v>6888.0</v>
      </c>
      <c r="P110" s="13"/>
      <c r="Q110" s="54" t="s">
        <v>441</v>
      </c>
      <c r="R110" s="54">
        <v>6694.0</v>
      </c>
      <c r="S110" s="13"/>
      <c r="T110" s="54" t="s">
        <v>441</v>
      </c>
      <c r="U110" s="54">
        <v>6852.0</v>
      </c>
      <c r="V110" s="13"/>
      <c r="W110" s="54" t="s">
        <v>441</v>
      </c>
      <c r="X110" s="54">
        <v>6211.0</v>
      </c>
      <c r="Y110" s="13"/>
      <c r="Z110" s="54" t="s">
        <v>452</v>
      </c>
      <c r="AA110" s="54">
        <v>10795.0</v>
      </c>
      <c r="AB110" s="13"/>
      <c r="AC110" s="54" t="s">
        <v>452</v>
      </c>
      <c r="AD110" s="54">
        <v>9403.0</v>
      </c>
      <c r="AE110" s="13"/>
      <c r="AF110" s="54" t="s">
        <v>452</v>
      </c>
      <c r="AG110" s="54">
        <v>9199.0</v>
      </c>
      <c r="AH110" s="13"/>
      <c r="AI110" s="54" t="s">
        <v>444</v>
      </c>
      <c r="AJ110" s="54">
        <v>47616.0</v>
      </c>
      <c r="AK110" s="13"/>
      <c r="AL110" s="54" t="s">
        <v>444</v>
      </c>
      <c r="AM110" s="54">
        <v>50891.0</v>
      </c>
      <c r="AN110" s="13"/>
      <c r="AO110" s="54" t="s">
        <v>444</v>
      </c>
      <c r="AP110" s="54">
        <v>46196.0</v>
      </c>
      <c r="AQ110" s="13"/>
      <c r="AR110" s="54" t="s">
        <v>444</v>
      </c>
      <c r="AS110" s="54">
        <v>49476.0</v>
      </c>
      <c r="AT110" s="13"/>
    </row>
    <row r="111">
      <c r="A111" s="13" t="s">
        <v>446</v>
      </c>
      <c r="B111" s="84">
        <f t="shared" si="1"/>
        <v>339134</v>
      </c>
      <c r="C111" s="13"/>
      <c r="D111" s="13"/>
      <c r="E111" s="84"/>
      <c r="F111" s="13"/>
      <c r="G111" s="13"/>
      <c r="H111" s="13"/>
      <c r="I111" s="13"/>
      <c r="J111" s="13"/>
      <c r="K111" s="54" t="s">
        <v>443</v>
      </c>
      <c r="L111" s="54">
        <v>10642.0</v>
      </c>
      <c r="M111" s="13"/>
      <c r="N111" s="96" t="s">
        <v>443</v>
      </c>
      <c r="O111" s="97">
        <v>9888.0</v>
      </c>
      <c r="P111" s="13"/>
      <c r="Q111" s="54" t="s">
        <v>443</v>
      </c>
      <c r="R111" s="54">
        <v>10684.0</v>
      </c>
      <c r="S111" s="13"/>
      <c r="T111" s="54" t="s">
        <v>443</v>
      </c>
      <c r="U111" s="54">
        <v>10932.0</v>
      </c>
      <c r="V111" s="13"/>
      <c r="W111" s="54" t="s">
        <v>443</v>
      </c>
      <c r="X111" s="54">
        <v>11428.0</v>
      </c>
      <c r="Y111" s="13"/>
      <c r="Z111" s="54" t="s">
        <v>453</v>
      </c>
      <c r="AA111" s="54">
        <v>8480.0</v>
      </c>
      <c r="AB111" s="13"/>
      <c r="AC111" s="54" t="s">
        <v>453</v>
      </c>
      <c r="AD111" s="54">
        <v>9214.0</v>
      </c>
      <c r="AE111" s="13"/>
      <c r="AF111" s="54" t="s">
        <v>453</v>
      </c>
      <c r="AG111" s="54">
        <v>8761.0</v>
      </c>
      <c r="AH111" s="13"/>
      <c r="AI111" s="54" t="s">
        <v>446</v>
      </c>
      <c r="AJ111" s="54">
        <v>37791.0</v>
      </c>
      <c r="AK111" s="13"/>
      <c r="AL111" s="54" t="s">
        <v>446</v>
      </c>
      <c r="AM111" s="54">
        <v>37619.0</v>
      </c>
      <c r="AN111" s="13"/>
      <c r="AO111" s="54" t="s">
        <v>446</v>
      </c>
      <c r="AP111" s="54">
        <v>35834.0</v>
      </c>
      <c r="AQ111" s="13"/>
      <c r="AR111" s="54" t="s">
        <v>446</v>
      </c>
      <c r="AS111" s="54">
        <v>37965.0</v>
      </c>
      <c r="AT111" s="13"/>
    </row>
    <row r="112">
      <c r="A112" s="13" t="s">
        <v>448</v>
      </c>
      <c r="B112" s="84">
        <f t="shared" si="1"/>
        <v>577178</v>
      </c>
      <c r="C112" s="13"/>
      <c r="D112" s="13"/>
      <c r="E112" s="84"/>
      <c r="F112" s="13"/>
      <c r="G112" s="13"/>
      <c r="H112" s="13"/>
      <c r="I112" s="13"/>
      <c r="J112" s="13"/>
      <c r="K112" s="54" t="s">
        <v>445</v>
      </c>
      <c r="L112" s="54">
        <v>7344.0</v>
      </c>
      <c r="M112" s="13"/>
      <c r="N112" s="96" t="s">
        <v>445</v>
      </c>
      <c r="O112" s="97">
        <v>6868.0</v>
      </c>
      <c r="P112" s="13"/>
      <c r="Q112" s="54" t="s">
        <v>445</v>
      </c>
      <c r="R112" s="54">
        <v>6997.0</v>
      </c>
      <c r="S112" s="13"/>
      <c r="T112" s="54" t="s">
        <v>445</v>
      </c>
      <c r="U112" s="54">
        <v>6958.0</v>
      </c>
      <c r="V112" s="13"/>
      <c r="W112" s="54" t="s">
        <v>445</v>
      </c>
      <c r="X112" s="54">
        <v>7835.0</v>
      </c>
      <c r="Y112" s="13"/>
      <c r="Z112" s="54" t="s">
        <v>454</v>
      </c>
      <c r="AA112" s="54">
        <v>6857.0</v>
      </c>
      <c r="AB112" s="13"/>
      <c r="AC112" s="54" t="s">
        <v>454</v>
      </c>
      <c r="AD112" s="54">
        <v>8956.0</v>
      </c>
      <c r="AE112" s="13"/>
      <c r="AF112" s="54" t="s">
        <v>454</v>
      </c>
      <c r="AG112" s="54">
        <v>8941.0</v>
      </c>
      <c r="AH112" s="13"/>
      <c r="AI112" s="54" t="s">
        <v>448</v>
      </c>
      <c r="AJ112" s="54">
        <v>54617.0</v>
      </c>
      <c r="AK112" s="13"/>
      <c r="AL112" s="54" t="s">
        <v>448</v>
      </c>
      <c r="AM112" s="54">
        <v>67742.0</v>
      </c>
      <c r="AN112" s="13"/>
      <c r="AO112" s="54" t="s">
        <v>448</v>
      </c>
      <c r="AP112" s="54">
        <v>57728.0</v>
      </c>
      <c r="AQ112" s="13"/>
      <c r="AR112" s="54" t="s">
        <v>448</v>
      </c>
      <c r="AS112" s="54">
        <v>65536.0</v>
      </c>
      <c r="AT112" s="13"/>
    </row>
    <row r="113">
      <c r="A113" s="13" t="s">
        <v>437</v>
      </c>
      <c r="B113" s="84">
        <f t="shared" si="1"/>
        <v>534150</v>
      </c>
      <c r="C113" s="13"/>
      <c r="D113" s="13"/>
      <c r="E113" s="84"/>
      <c r="F113" s="13"/>
      <c r="G113" s="13"/>
      <c r="H113" s="13"/>
      <c r="I113" s="13"/>
      <c r="J113" s="13"/>
      <c r="K113" s="54" t="s">
        <v>447</v>
      </c>
      <c r="L113" s="54">
        <v>12112.0</v>
      </c>
      <c r="M113" s="13"/>
      <c r="N113" s="96" t="s">
        <v>447</v>
      </c>
      <c r="O113" s="97">
        <v>10620.0</v>
      </c>
      <c r="P113" s="13"/>
      <c r="Q113" s="54" t="s">
        <v>447</v>
      </c>
      <c r="R113" s="54">
        <v>12048.0</v>
      </c>
      <c r="S113" s="13"/>
      <c r="T113" s="54" t="s">
        <v>447</v>
      </c>
      <c r="U113" s="54">
        <v>12194.0</v>
      </c>
      <c r="V113" s="13"/>
      <c r="W113" s="54" t="s">
        <v>447</v>
      </c>
      <c r="X113" s="54">
        <v>12771.0</v>
      </c>
      <c r="Y113" s="13"/>
      <c r="Z113" s="54" t="s">
        <v>455</v>
      </c>
      <c r="AA113" s="54">
        <v>31490.0</v>
      </c>
      <c r="AB113" s="13"/>
      <c r="AC113" s="54" t="s">
        <v>455</v>
      </c>
      <c r="AD113" s="54">
        <v>23470.0</v>
      </c>
      <c r="AE113" s="13"/>
      <c r="AF113" s="54" t="s">
        <v>455</v>
      </c>
      <c r="AG113" s="54">
        <v>24051.0</v>
      </c>
      <c r="AH113" s="13"/>
      <c r="AI113" s="54" t="s">
        <v>437</v>
      </c>
      <c r="AJ113" s="54">
        <v>56721.0</v>
      </c>
      <c r="AK113" s="13"/>
      <c r="AL113" s="54" t="s">
        <v>437</v>
      </c>
      <c r="AM113" s="54">
        <v>64380.0</v>
      </c>
      <c r="AN113" s="13"/>
      <c r="AO113" s="54" t="s">
        <v>437</v>
      </c>
      <c r="AP113" s="54">
        <v>53164.0</v>
      </c>
      <c r="AQ113" s="13"/>
      <c r="AR113" s="54" t="s">
        <v>437</v>
      </c>
      <c r="AS113" s="54">
        <v>57587.0</v>
      </c>
      <c r="AT113" s="13"/>
    </row>
    <row r="114">
      <c r="A114" s="13" t="s">
        <v>439</v>
      </c>
      <c r="B114" s="84">
        <f t="shared" si="1"/>
        <v>97145</v>
      </c>
      <c r="C114" s="13"/>
      <c r="D114" s="13"/>
      <c r="E114" s="84"/>
      <c r="F114" s="13"/>
      <c r="G114" s="13"/>
      <c r="H114" s="13"/>
      <c r="I114" s="13"/>
      <c r="J114" s="13"/>
      <c r="K114" s="54" t="s">
        <v>449</v>
      </c>
      <c r="L114" s="54">
        <v>13752.0</v>
      </c>
      <c r="M114" s="13"/>
      <c r="N114" s="96" t="s">
        <v>449</v>
      </c>
      <c r="O114" s="97">
        <v>12152.0</v>
      </c>
      <c r="P114" s="13"/>
      <c r="Q114" s="54" t="s">
        <v>449</v>
      </c>
      <c r="R114" s="54">
        <v>12283.0</v>
      </c>
      <c r="S114" s="13"/>
      <c r="T114" s="54" t="s">
        <v>449</v>
      </c>
      <c r="U114" s="54">
        <v>11806.0</v>
      </c>
      <c r="V114" s="13"/>
      <c r="W114" s="54" t="s">
        <v>449</v>
      </c>
      <c r="X114" s="54">
        <v>12560.0</v>
      </c>
      <c r="Y114" s="13"/>
      <c r="Z114" s="13"/>
      <c r="AA114" s="13"/>
      <c r="AB114" s="13"/>
      <c r="AC114" s="13"/>
      <c r="AD114" s="13"/>
      <c r="AE114" s="13"/>
      <c r="AF114" s="13"/>
      <c r="AG114" s="13"/>
      <c r="AH114" s="13"/>
      <c r="AI114" s="54" t="s">
        <v>439</v>
      </c>
      <c r="AJ114" s="54">
        <v>8913.0</v>
      </c>
      <c r="AK114" s="13"/>
      <c r="AL114" s="54" t="s">
        <v>439</v>
      </c>
      <c r="AM114" s="54">
        <v>10910.0</v>
      </c>
      <c r="AN114" s="13"/>
      <c r="AO114" s="54" t="s">
        <v>439</v>
      </c>
      <c r="AP114" s="54">
        <v>8149.0</v>
      </c>
      <c r="AQ114" s="13"/>
      <c r="AR114" s="54" t="s">
        <v>439</v>
      </c>
      <c r="AS114" s="54">
        <v>9105.0</v>
      </c>
      <c r="AT114" s="13"/>
    </row>
    <row r="115">
      <c r="A115" s="13" t="s">
        <v>441</v>
      </c>
      <c r="B115" s="84">
        <f t="shared" si="1"/>
        <v>91685</v>
      </c>
      <c r="C115" s="13"/>
      <c r="D115" s="13"/>
      <c r="E115" s="84"/>
      <c r="F115" s="13"/>
      <c r="G115" s="13"/>
      <c r="H115" s="13"/>
      <c r="I115" s="13"/>
      <c r="J115" s="13"/>
      <c r="K115" s="54" t="s">
        <v>456</v>
      </c>
      <c r="L115" s="54">
        <v>27982.0</v>
      </c>
      <c r="M115" s="13"/>
      <c r="N115" s="96" t="s">
        <v>456</v>
      </c>
      <c r="O115" s="97">
        <v>24404.0</v>
      </c>
      <c r="P115" s="13"/>
      <c r="Q115" s="54" t="s">
        <v>456</v>
      </c>
      <c r="R115" s="54">
        <v>26005.0</v>
      </c>
      <c r="S115" s="13"/>
      <c r="T115" s="54" t="s">
        <v>456</v>
      </c>
      <c r="U115" s="54">
        <v>26248.0</v>
      </c>
      <c r="V115" s="13"/>
      <c r="W115" s="54" t="s">
        <v>456</v>
      </c>
      <c r="X115" s="54">
        <v>30547.0</v>
      </c>
      <c r="Y115" s="13"/>
      <c r="Z115" s="13"/>
      <c r="AA115" s="13"/>
      <c r="AB115" s="13"/>
      <c r="AC115" s="13"/>
      <c r="AD115" s="13"/>
      <c r="AE115" s="13"/>
      <c r="AF115" s="13"/>
      <c r="AG115" s="13"/>
      <c r="AH115" s="13"/>
      <c r="AI115" s="54" t="s">
        <v>441</v>
      </c>
      <c r="AJ115" s="54">
        <v>8635.0</v>
      </c>
      <c r="AK115" s="13"/>
      <c r="AL115" s="54" t="s">
        <v>441</v>
      </c>
      <c r="AM115" s="54">
        <v>9888.0</v>
      </c>
      <c r="AN115" s="13"/>
      <c r="AO115" s="54" t="s">
        <v>441</v>
      </c>
      <c r="AP115" s="54">
        <v>7462.0</v>
      </c>
      <c r="AQ115" s="13"/>
      <c r="AR115" s="54" t="s">
        <v>441</v>
      </c>
      <c r="AS115" s="54">
        <v>8234.0</v>
      </c>
      <c r="AT115" s="13"/>
    </row>
    <row r="116">
      <c r="A116" s="13" t="s">
        <v>443</v>
      </c>
      <c r="B116" s="84">
        <f t="shared" si="1"/>
        <v>151375</v>
      </c>
      <c r="C116" s="13"/>
      <c r="D116" s="13"/>
      <c r="E116" s="84"/>
      <c r="F116" s="13"/>
      <c r="G116" s="13"/>
      <c r="H116" s="13"/>
      <c r="I116" s="13"/>
      <c r="J116" s="13"/>
      <c r="K116" s="54" t="s">
        <v>457</v>
      </c>
      <c r="L116" s="54">
        <v>7769.0</v>
      </c>
      <c r="M116" s="13"/>
      <c r="N116" s="96" t="s">
        <v>457</v>
      </c>
      <c r="O116" s="97">
        <v>6936.0</v>
      </c>
      <c r="P116" s="13"/>
      <c r="Q116" s="54" t="s">
        <v>457</v>
      </c>
      <c r="R116" s="54">
        <v>7154.0</v>
      </c>
      <c r="S116" s="13"/>
      <c r="T116" s="54" t="s">
        <v>457</v>
      </c>
      <c r="U116" s="54">
        <v>6728.0</v>
      </c>
      <c r="V116" s="13"/>
      <c r="W116" s="54" t="s">
        <v>457</v>
      </c>
      <c r="X116" s="54">
        <v>7506.0</v>
      </c>
      <c r="Y116" s="13"/>
      <c r="Z116" s="13"/>
      <c r="AA116" s="13"/>
      <c r="AB116" s="13"/>
      <c r="AC116" s="13"/>
      <c r="AD116" s="13"/>
      <c r="AE116" s="13"/>
      <c r="AF116" s="13"/>
      <c r="AG116" s="13"/>
      <c r="AH116" s="13"/>
      <c r="AI116" s="54" t="s">
        <v>443</v>
      </c>
      <c r="AJ116" s="54">
        <v>14212.0</v>
      </c>
      <c r="AK116" s="13"/>
      <c r="AL116" s="54" t="s">
        <v>443</v>
      </c>
      <c r="AM116" s="54">
        <v>15263.0</v>
      </c>
      <c r="AN116" s="13"/>
      <c r="AO116" s="54" t="s">
        <v>443</v>
      </c>
      <c r="AP116" s="54">
        <v>12543.0</v>
      </c>
      <c r="AQ116" s="13"/>
      <c r="AR116" s="54" t="s">
        <v>443</v>
      </c>
      <c r="AS116" s="54">
        <v>13389.0</v>
      </c>
      <c r="AT116" s="13"/>
    </row>
    <row r="117">
      <c r="A117" s="13" t="s">
        <v>445</v>
      </c>
      <c r="B117" s="84">
        <f t="shared" si="1"/>
        <v>100775</v>
      </c>
      <c r="C117" s="13"/>
      <c r="D117" s="13"/>
      <c r="E117" s="84"/>
      <c r="F117" s="13"/>
      <c r="G117" s="13"/>
      <c r="H117" s="13"/>
      <c r="I117" s="13"/>
      <c r="J117" s="13"/>
      <c r="K117" s="54" t="s">
        <v>458</v>
      </c>
      <c r="L117" s="54">
        <v>8330.0</v>
      </c>
      <c r="M117" s="13"/>
      <c r="N117" s="96" t="s">
        <v>458</v>
      </c>
      <c r="O117" s="97">
        <v>7532.0</v>
      </c>
      <c r="P117" s="13"/>
      <c r="Q117" s="54" t="s">
        <v>458</v>
      </c>
      <c r="R117" s="54">
        <v>7862.0</v>
      </c>
      <c r="S117" s="13"/>
      <c r="T117" s="54" t="s">
        <v>458</v>
      </c>
      <c r="U117" s="54">
        <v>7998.0</v>
      </c>
      <c r="V117" s="13"/>
      <c r="W117" s="54" t="s">
        <v>458</v>
      </c>
      <c r="X117" s="54">
        <v>9033.0</v>
      </c>
      <c r="Y117" s="13"/>
      <c r="Z117" s="13"/>
      <c r="AA117" s="13"/>
      <c r="AB117" s="13"/>
      <c r="AC117" s="13"/>
      <c r="AD117" s="13"/>
      <c r="AE117" s="13"/>
      <c r="AF117" s="13"/>
      <c r="AG117" s="13"/>
      <c r="AH117" s="13"/>
      <c r="AI117" s="54" t="s">
        <v>445</v>
      </c>
      <c r="AJ117" s="54">
        <v>9275.0</v>
      </c>
      <c r="AK117" s="13"/>
      <c r="AL117" s="54" t="s">
        <v>445</v>
      </c>
      <c r="AM117" s="54">
        <v>10332.0</v>
      </c>
      <c r="AN117" s="13"/>
      <c r="AO117" s="54" t="s">
        <v>445</v>
      </c>
      <c r="AP117" s="54">
        <v>8271.0</v>
      </c>
      <c r="AQ117" s="13"/>
      <c r="AR117" s="54" t="s">
        <v>445</v>
      </c>
      <c r="AS117" s="54">
        <v>9068.0</v>
      </c>
      <c r="AT117" s="13"/>
    </row>
    <row r="118">
      <c r="A118" s="13" t="s">
        <v>447</v>
      </c>
      <c r="B118" s="84">
        <f t="shared" si="1"/>
        <v>163913</v>
      </c>
      <c r="C118" s="13"/>
      <c r="D118" s="13"/>
      <c r="E118" s="84"/>
      <c r="F118" s="13"/>
      <c r="G118" s="13"/>
      <c r="H118" s="13"/>
      <c r="I118" s="13"/>
      <c r="J118" s="13"/>
      <c r="K118" s="54" t="s">
        <v>459</v>
      </c>
      <c r="L118" s="54">
        <v>7087.0</v>
      </c>
      <c r="M118" s="13"/>
      <c r="N118" s="96" t="s">
        <v>459</v>
      </c>
      <c r="O118" s="97">
        <v>6260.0</v>
      </c>
      <c r="P118" s="13"/>
      <c r="Q118" s="54" t="s">
        <v>459</v>
      </c>
      <c r="R118" s="54">
        <v>6580.0</v>
      </c>
      <c r="S118" s="13"/>
      <c r="T118" s="54" t="s">
        <v>459</v>
      </c>
      <c r="U118" s="54">
        <v>6816.0</v>
      </c>
      <c r="V118" s="13"/>
      <c r="W118" s="54" t="s">
        <v>459</v>
      </c>
      <c r="X118" s="54">
        <v>7709.0</v>
      </c>
      <c r="Y118" s="13"/>
      <c r="Z118" s="13"/>
      <c r="AA118" s="13"/>
      <c r="AB118" s="13"/>
      <c r="AC118" s="13"/>
      <c r="AD118" s="13"/>
      <c r="AE118" s="13"/>
      <c r="AF118" s="13"/>
      <c r="AG118" s="13"/>
      <c r="AH118" s="13"/>
      <c r="AI118" s="54" t="s">
        <v>447</v>
      </c>
      <c r="AJ118" s="54">
        <v>16008.0</v>
      </c>
      <c r="AK118" s="13"/>
      <c r="AL118" s="54" t="s">
        <v>447</v>
      </c>
      <c r="AM118" s="54">
        <v>16858.0</v>
      </c>
      <c r="AN118" s="13"/>
      <c r="AO118" s="54" t="s">
        <v>447</v>
      </c>
      <c r="AP118" s="54">
        <v>14113.0</v>
      </c>
      <c r="AQ118" s="13"/>
      <c r="AR118" s="54" t="s">
        <v>447</v>
      </c>
      <c r="AS118" s="54">
        <v>14415.0</v>
      </c>
      <c r="AT118" s="13"/>
    </row>
    <row r="119">
      <c r="A119" s="13" t="s">
        <v>449</v>
      </c>
      <c r="B119" s="84">
        <f t="shared" si="1"/>
        <v>145624</v>
      </c>
      <c r="C119" s="13"/>
      <c r="D119" s="13"/>
      <c r="E119" s="84"/>
      <c r="F119" s="13"/>
      <c r="G119" s="13"/>
      <c r="H119" s="13"/>
      <c r="I119" s="13"/>
      <c r="J119" s="13"/>
      <c r="K119" s="54" t="s">
        <v>460</v>
      </c>
      <c r="L119" s="54">
        <v>19632.0</v>
      </c>
      <c r="M119" s="13"/>
      <c r="N119" s="96" t="s">
        <v>460</v>
      </c>
      <c r="O119" s="97">
        <v>18172.0</v>
      </c>
      <c r="P119" s="13"/>
      <c r="Q119" s="54" t="s">
        <v>460</v>
      </c>
      <c r="R119" s="54">
        <v>19974.0</v>
      </c>
      <c r="S119" s="13"/>
      <c r="T119" s="54" t="s">
        <v>460</v>
      </c>
      <c r="U119" s="54">
        <v>19104.0</v>
      </c>
      <c r="V119" s="13"/>
      <c r="W119" s="54" t="s">
        <v>460</v>
      </c>
      <c r="X119" s="54">
        <v>20606.0</v>
      </c>
      <c r="Y119" s="13"/>
      <c r="Z119" s="13"/>
      <c r="AA119" s="13"/>
      <c r="AB119" s="13"/>
      <c r="AC119" s="13"/>
      <c r="AD119" s="13"/>
      <c r="AE119" s="13"/>
      <c r="AF119" s="13"/>
      <c r="AG119" s="13"/>
      <c r="AH119" s="13"/>
      <c r="AI119" s="54" t="s">
        <v>449</v>
      </c>
      <c r="AJ119" s="54">
        <v>11373.0</v>
      </c>
      <c r="AK119" s="13"/>
      <c r="AL119" s="54" t="s">
        <v>449</v>
      </c>
      <c r="AM119" s="54">
        <v>11099.0</v>
      </c>
      <c r="AN119" s="13"/>
      <c r="AO119" s="54" t="s">
        <v>449</v>
      </c>
      <c r="AP119" s="54">
        <v>9792.0</v>
      </c>
      <c r="AQ119" s="13"/>
      <c r="AR119" s="54" t="s">
        <v>449</v>
      </c>
      <c r="AS119" s="54">
        <v>10345.0</v>
      </c>
      <c r="AT119" s="13"/>
    </row>
    <row r="120">
      <c r="A120" s="13" t="s">
        <v>450</v>
      </c>
      <c r="B120" s="84">
        <f t="shared" si="1"/>
        <v>241980</v>
      </c>
      <c r="C120" s="13"/>
      <c r="D120" s="13"/>
      <c r="E120" s="84"/>
      <c r="F120" s="13"/>
      <c r="G120" s="13"/>
      <c r="H120" s="13"/>
      <c r="I120" s="13"/>
      <c r="J120" s="13"/>
      <c r="K120" s="13"/>
      <c r="L120" s="13"/>
      <c r="M120" s="13"/>
      <c r="N120" s="98"/>
      <c r="O120" s="98"/>
      <c r="P120" s="13"/>
      <c r="Q120" s="13"/>
      <c r="R120" s="13"/>
      <c r="S120" s="13"/>
      <c r="T120" s="13"/>
      <c r="U120" s="13"/>
      <c r="V120" s="13"/>
      <c r="W120" s="13"/>
      <c r="X120" s="13"/>
      <c r="Y120" s="13"/>
      <c r="Z120" s="13"/>
      <c r="AA120" s="13"/>
      <c r="AB120" s="13"/>
      <c r="AC120" s="13"/>
      <c r="AD120" s="13"/>
      <c r="AE120" s="13"/>
      <c r="AF120" s="13"/>
      <c r="AG120" s="13"/>
      <c r="AH120" s="13"/>
      <c r="AI120" s="54" t="s">
        <v>450</v>
      </c>
      <c r="AJ120" s="54">
        <v>34749.0</v>
      </c>
      <c r="AK120" s="13"/>
      <c r="AL120" s="54" t="s">
        <v>450</v>
      </c>
      <c r="AM120" s="54">
        <v>34654.0</v>
      </c>
      <c r="AN120" s="13"/>
      <c r="AO120" s="54" t="s">
        <v>450</v>
      </c>
      <c r="AP120" s="54">
        <v>31100.0</v>
      </c>
      <c r="AQ120" s="13"/>
      <c r="AR120" s="54" t="s">
        <v>450</v>
      </c>
      <c r="AS120" s="54">
        <v>33085.0</v>
      </c>
      <c r="AT120" s="13"/>
    </row>
    <row r="121">
      <c r="A121" s="13" t="s">
        <v>451</v>
      </c>
      <c r="B121" s="84">
        <f t="shared" si="1"/>
        <v>184317</v>
      </c>
      <c r="C121" s="13"/>
      <c r="D121" s="13"/>
      <c r="E121" s="84"/>
      <c r="F121" s="54"/>
      <c r="G121" s="13"/>
      <c r="H121" s="13"/>
      <c r="I121" s="13"/>
      <c r="J121" s="13"/>
      <c r="K121" s="13"/>
      <c r="L121" s="13"/>
      <c r="M121" s="13"/>
      <c r="N121" s="98"/>
      <c r="O121" s="98"/>
      <c r="P121" s="13"/>
      <c r="Q121" s="13"/>
      <c r="R121" s="13"/>
      <c r="S121" s="13"/>
      <c r="T121" s="13"/>
      <c r="U121" s="13"/>
      <c r="V121" s="13"/>
      <c r="W121" s="13"/>
      <c r="X121" s="13"/>
      <c r="Y121" s="13"/>
      <c r="Z121" s="13"/>
      <c r="AA121" s="13"/>
      <c r="AB121" s="13"/>
      <c r="AC121" s="13"/>
      <c r="AD121" s="13"/>
      <c r="AE121" s="13"/>
      <c r="AF121" s="13"/>
      <c r="AG121" s="13"/>
      <c r="AH121" s="13"/>
      <c r="AI121" s="54" t="s">
        <v>451</v>
      </c>
      <c r="AJ121" s="54">
        <v>26510.0</v>
      </c>
      <c r="AK121" s="13"/>
      <c r="AL121" s="54" t="s">
        <v>451</v>
      </c>
      <c r="AM121" s="54">
        <v>27581.0</v>
      </c>
      <c r="AN121" s="13"/>
      <c r="AO121" s="54" t="s">
        <v>451</v>
      </c>
      <c r="AP121" s="54">
        <v>21676.0</v>
      </c>
      <c r="AQ121" s="13"/>
      <c r="AR121" s="54" t="s">
        <v>451</v>
      </c>
      <c r="AS121" s="54">
        <v>23817.0</v>
      </c>
      <c r="AT121" s="13"/>
    </row>
    <row r="122">
      <c r="A122" s="13" t="s">
        <v>452</v>
      </c>
      <c r="B122" s="84">
        <f t="shared" si="1"/>
        <v>64470</v>
      </c>
      <c r="C122" s="13"/>
      <c r="D122" s="13"/>
      <c r="E122" s="84"/>
      <c r="F122" s="13"/>
      <c r="G122" s="13"/>
      <c r="H122" s="13"/>
      <c r="I122" s="13"/>
      <c r="J122" s="13"/>
      <c r="K122" s="13"/>
      <c r="L122" s="13"/>
      <c r="M122" s="13"/>
      <c r="N122" s="98"/>
      <c r="O122" s="98"/>
      <c r="P122" s="13"/>
      <c r="Q122" s="13"/>
      <c r="R122" s="13"/>
      <c r="S122" s="13"/>
      <c r="T122" s="13"/>
      <c r="U122" s="13"/>
      <c r="V122" s="13"/>
      <c r="W122" s="13"/>
      <c r="X122" s="13"/>
      <c r="Y122" s="13"/>
      <c r="Z122" s="13"/>
      <c r="AA122" s="13"/>
      <c r="AB122" s="13"/>
      <c r="AC122" s="13"/>
      <c r="AD122" s="13"/>
      <c r="AE122" s="13"/>
      <c r="AF122" s="13"/>
      <c r="AG122" s="13"/>
      <c r="AH122" s="13"/>
      <c r="AI122" s="54" t="s">
        <v>452</v>
      </c>
      <c r="AJ122" s="54">
        <v>8819.0</v>
      </c>
      <c r="AK122" s="13"/>
      <c r="AL122" s="54" t="s">
        <v>452</v>
      </c>
      <c r="AM122" s="54">
        <v>9690.0</v>
      </c>
      <c r="AN122" s="13"/>
      <c r="AO122" s="54" t="s">
        <v>452</v>
      </c>
      <c r="AP122" s="54">
        <v>8102.0</v>
      </c>
      <c r="AQ122" s="13"/>
      <c r="AR122" s="54" t="s">
        <v>452</v>
      </c>
      <c r="AS122" s="54">
        <v>8462.0</v>
      </c>
      <c r="AT122" s="13"/>
    </row>
    <row r="123">
      <c r="A123" s="13" t="s">
        <v>453</v>
      </c>
      <c r="B123" s="84">
        <f t="shared" si="1"/>
        <v>63427</v>
      </c>
      <c r="C123" s="13"/>
      <c r="D123" s="13"/>
      <c r="E123" s="84"/>
      <c r="F123" s="13"/>
      <c r="G123" s="13"/>
      <c r="H123" s="13"/>
      <c r="I123" s="13"/>
      <c r="J123" s="13"/>
      <c r="K123" s="13"/>
      <c r="L123" s="13"/>
      <c r="M123" s="13"/>
      <c r="N123" s="98"/>
      <c r="O123" s="98"/>
      <c r="P123" s="13"/>
      <c r="Q123" s="13"/>
      <c r="R123" s="13"/>
      <c r="S123" s="13"/>
      <c r="T123" s="13"/>
      <c r="U123" s="13"/>
      <c r="V123" s="13"/>
      <c r="W123" s="13"/>
      <c r="X123" s="13"/>
      <c r="Y123" s="13"/>
      <c r="Z123" s="13"/>
      <c r="AA123" s="13"/>
      <c r="AB123" s="13"/>
      <c r="AC123" s="13"/>
      <c r="AD123" s="13"/>
      <c r="AE123" s="13"/>
      <c r="AF123" s="13"/>
      <c r="AG123" s="13"/>
      <c r="AH123" s="13"/>
      <c r="AI123" s="54" t="s">
        <v>453</v>
      </c>
      <c r="AJ123" s="54">
        <v>9615.0</v>
      </c>
      <c r="AK123" s="13"/>
      <c r="AL123" s="54" t="s">
        <v>453</v>
      </c>
      <c r="AM123" s="54">
        <v>10449.0</v>
      </c>
      <c r="AN123" s="13"/>
      <c r="AO123" s="54" t="s">
        <v>453</v>
      </c>
      <c r="AP123" s="54">
        <v>8000.0</v>
      </c>
      <c r="AQ123" s="13"/>
      <c r="AR123" s="54" t="s">
        <v>453</v>
      </c>
      <c r="AS123" s="54">
        <v>8908.0</v>
      </c>
      <c r="AT123" s="13"/>
    </row>
    <row r="124">
      <c r="A124" s="13" t="s">
        <v>454</v>
      </c>
      <c r="B124" s="84">
        <f t="shared" si="1"/>
        <v>59003</v>
      </c>
      <c r="C124" s="13"/>
      <c r="D124" s="13"/>
      <c r="E124" s="84"/>
      <c r="F124" s="13"/>
      <c r="G124" s="13"/>
      <c r="H124" s="13"/>
      <c r="I124" s="13"/>
      <c r="J124" s="13"/>
      <c r="K124" s="13"/>
      <c r="L124" s="13"/>
      <c r="M124" s="13"/>
      <c r="N124" s="98"/>
      <c r="O124" s="98"/>
      <c r="P124" s="13"/>
      <c r="Q124" s="13"/>
      <c r="R124" s="13"/>
      <c r="S124" s="13"/>
      <c r="T124" s="13"/>
      <c r="U124" s="13"/>
      <c r="V124" s="13"/>
      <c r="W124" s="13"/>
      <c r="X124" s="13"/>
      <c r="Y124" s="13"/>
      <c r="Z124" s="13"/>
      <c r="AA124" s="13"/>
      <c r="AB124" s="13"/>
      <c r="AC124" s="13"/>
      <c r="AD124" s="13"/>
      <c r="AE124" s="13"/>
      <c r="AF124" s="13"/>
      <c r="AG124" s="13"/>
      <c r="AH124" s="13"/>
      <c r="AI124" s="54" t="s">
        <v>454</v>
      </c>
      <c r="AJ124" s="54">
        <v>9154.0</v>
      </c>
      <c r="AK124" s="13"/>
      <c r="AL124" s="54" t="s">
        <v>454</v>
      </c>
      <c r="AM124" s="54">
        <v>9295.0</v>
      </c>
      <c r="AN124" s="13"/>
      <c r="AO124" s="54" t="s">
        <v>454</v>
      </c>
      <c r="AP124" s="54">
        <v>7463.0</v>
      </c>
      <c r="AQ124" s="13"/>
      <c r="AR124" s="54" t="s">
        <v>454</v>
      </c>
      <c r="AS124" s="54">
        <v>8337.0</v>
      </c>
      <c r="AT124" s="13"/>
    </row>
    <row r="125">
      <c r="A125" s="13" t="s">
        <v>455</v>
      </c>
      <c r="B125" s="84">
        <f t="shared" si="1"/>
        <v>168172</v>
      </c>
      <c r="C125" s="13"/>
      <c r="D125" s="13"/>
      <c r="E125" s="84"/>
      <c r="F125" s="13"/>
      <c r="G125" s="13"/>
      <c r="H125" s="13"/>
      <c r="I125" s="13"/>
      <c r="J125" s="13"/>
      <c r="K125" s="13"/>
      <c r="L125" s="13"/>
      <c r="M125" s="13"/>
      <c r="N125" s="98"/>
      <c r="O125" s="98"/>
      <c r="P125" s="13"/>
      <c r="Q125" s="13"/>
      <c r="R125" s="13"/>
      <c r="S125" s="13"/>
      <c r="T125" s="13"/>
      <c r="U125" s="13"/>
      <c r="V125" s="13"/>
      <c r="W125" s="13"/>
      <c r="X125" s="13"/>
      <c r="Y125" s="13"/>
      <c r="Z125" s="13"/>
      <c r="AA125" s="13"/>
      <c r="AB125" s="13"/>
      <c r="AC125" s="13"/>
      <c r="AD125" s="13"/>
      <c r="AE125" s="13"/>
      <c r="AF125" s="13"/>
      <c r="AG125" s="13"/>
      <c r="AH125" s="13"/>
      <c r="AI125" s="54" t="s">
        <v>455</v>
      </c>
      <c r="AJ125" s="54">
        <v>22713.0</v>
      </c>
      <c r="AK125" s="13"/>
      <c r="AL125" s="54" t="s">
        <v>455</v>
      </c>
      <c r="AM125" s="54">
        <v>22362.0</v>
      </c>
      <c r="AN125" s="13"/>
      <c r="AO125" s="54" t="s">
        <v>455</v>
      </c>
      <c r="AP125" s="54">
        <v>21022.0</v>
      </c>
      <c r="AQ125" s="13"/>
      <c r="AR125" s="54" t="s">
        <v>455</v>
      </c>
      <c r="AS125" s="54">
        <v>23064.0</v>
      </c>
      <c r="AT125" s="13"/>
    </row>
    <row r="126">
      <c r="A126" s="13" t="s">
        <v>456</v>
      </c>
      <c r="B126" s="84">
        <f t="shared" si="1"/>
        <v>135186</v>
      </c>
      <c r="C126" s="13"/>
      <c r="D126" s="13"/>
      <c r="E126" s="84"/>
      <c r="F126" s="13"/>
      <c r="G126" s="13"/>
      <c r="H126" s="13"/>
      <c r="I126" s="13"/>
      <c r="J126" s="13"/>
      <c r="K126" s="13"/>
      <c r="L126" s="13"/>
      <c r="M126" s="13"/>
      <c r="N126" s="98"/>
      <c r="O126" s="98"/>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row>
    <row r="127">
      <c r="A127" s="13" t="s">
        <v>457</v>
      </c>
      <c r="B127" s="84">
        <f t="shared" si="1"/>
        <v>36093</v>
      </c>
      <c r="C127" s="13"/>
      <c r="D127" s="13"/>
      <c r="E127" s="84"/>
      <c r="F127" s="13"/>
      <c r="G127" s="13"/>
      <c r="H127" s="13"/>
      <c r="I127" s="13"/>
      <c r="J127" s="13"/>
      <c r="K127" s="13"/>
      <c r="L127" s="13"/>
      <c r="M127" s="13"/>
      <c r="N127" s="98"/>
      <c r="O127" s="98"/>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row>
    <row r="128">
      <c r="A128" s="13" t="s">
        <v>458</v>
      </c>
      <c r="B128" s="84">
        <f t="shared" si="1"/>
        <v>40755</v>
      </c>
      <c r="C128" s="13"/>
      <c r="D128" s="13"/>
      <c r="E128" s="84"/>
      <c r="F128" s="13"/>
      <c r="G128" s="13"/>
      <c r="H128" s="13"/>
      <c r="I128" s="13"/>
      <c r="J128" s="13"/>
      <c r="K128" s="13"/>
      <c r="L128" s="13"/>
      <c r="M128" s="13"/>
      <c r="N128" s="98"/>
      <c r="O128" s="98"/>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row>
    <row r="129">
      <c r="A129" s="13" t="s">
        <v>459</v>
      </c>
      <c r="B129" s="84">
        <f t="shared" si="1"/>
        <v>34452</v>
      </c>
      <c r="C129" s="13"/>
      <c r="D129" s="13"/>
      <c r="E129" s="84"/>
      <c r="F129" s="13"/>
      <c r="G129" s="13"/>
      <c r="H129" s="13"/>
      <c r="I129" s="13"/>
      <c r="J129" s="13"/>
      <c r="K129" s="13"/>
      <c r="L129" s="13"/>
      <c r="M129" s="13"/>
      <c r="N129" s="98"/>
      <c r="O129" s="98"/>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row>
    <row r="130">
      <c r="A130" s="13" t="s">
        <v>460</v>
      </c>
      <c r="B130" s="84">
        <f t="shared" si="1"/>
        <v>97488</v>
      </c>
      <c r="C130" s="13"/>
      <c r="D130" s="13"/>
      <c r="E130" s="84"/>
      <c r="F130" s="13"/>
      <c r="G130" s="13"/>
      <c r="H130" s="13"/>
      <c r="I130" s="13"/>
      <c r="J130" s="13"/>
      <c r="K130" s="13"/>
      <c r="L130" s="13"/>
      <c r="M130" s="13"/>
      <c r="N130" s="98"/>
      <c r="O130" s="98"/>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row>
    <row r="131">
      <c r="A131" s="99" t="s">
        <v>29</v>
      </c>
      <c r="B131" s="100">
        <f>SUM(B2:B130)</f>
        <v>68493991</v>
      </c>
      <c r="C131" s="13"/>
      <c r="D131" s="13"/>
      <c r="E131" s="13"/>
      <c r="F131" s="13"/>
      <c r="G131" s="13"/>
      <c r="H131" s="13"/>
      <c r="I131" s="13"/>
      <c r="J131" s="13"/>
      <c r="K131" s="13"/>
      <c r="L131" s="13"/>
      <c r="M131" s="13"/>
      <c r="N131" s="98"/>
      <c r="O131" s="98"/>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row>
    <row r="132">
      <c r="A132" s="13"/>
      <c r="B132" s="84"/>
      <c r="C132" s="13"/>
      <c r="D132" s="13"/>
      <c r="E132" s="13"/>
      <c r="F132" s="13"/>
      <c r="G132" s="13"/>
      <c r="H132" s="13"/>
      <c r="I132" s="13"/>
      <c r="J132" s="13"/>
      <c r="K132" s="13"/>
      <c r="L132" s="13"/>
      <c r="M132" s="13"/>
      <c r="N132" s="98"/>
      <c r="O132" s="98"/>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row>
    <row r="133">
      <c r="A133" s="13"/>
      <c r="B133" s="84"/>
      <c r="C133" s="13"/>
      <c r="D133" s="13"/>
      <c r="E133" s="13"/>
      <c r="F133" s="13"/>
      <c r="G133" s="13"/>
      <c r="H133" s="13"/>
      <c r="I133" s="13"/>
      <c r="J133" s="13"/>
      <c r="K133" s="13"/>
      <c r="L133" s="13"/>
      <c r="M133" s="13"/>
      <c r="N133" s="98"/>
      <c r="O133" s="98"/>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row>
    <row r="134">
      <c r="A134" s="13"/>
      <c r="B134" s="84"/>
      <c r="C134" s="13"/>
      <c r="D134" s="13"/>
      <c r="E134" s="13"/>
      <c r="F134" s="13"/>
      <c r="G134" s="13"/>
      <c r="H134" s="13"/>
      <c r="I134" s="13"/>
      <c r="J134" s="13"/>
      <c r="K134" s="13"/>
      <c r="L134" s="13"/>
      <c r="M134" s="13"/>
      <c r="N134" s="98"/>
      <c r="O134" s="98"/>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row>
    <row r="135">
      <c r="A135" s="13"/>
      <c r="B135" s="84"/>
      <c r="C135" s="13"/>
      <c r="D135" s="13"/>
      <c r="E135" s="13"/>
      <c r="F135" s="13"/>
      <c r="G135" s="13"/>
      <c r="H135" s="13"/>
      <c r="I135" s="13"/>
      <c r="J135" s="13"/>
      <c r="K135" s="13"/>
      <c r="L135" s="13"/>
      <c r="M135" s="13"/>
      <c r="N135" s="98"/>
      <c r="O135" s="98"/>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row>
    <row r="136">
      <c r="A136" s="13"/>
      <c r="B136" s="84"/>
      <c r="C136" s="13"/>
      <c r="D136" s="13"/>
      <c r="E136" s="13"/>
      <c r="F136" s="13"/>
      <c r="G136" s="13"/>
      <c r="H136" s="13"/>
      <c r="I136" s="13"/>
      <c r="J136" s="13"/>
      <c r="K136" s="13"/>
      <c r="L136" s="13"/>
      <c r="M136" s="13"/>
      <c r="N136" s="98"/>
      <c r="O136" s="98"/>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row>
    <row r="137">
      <c r="A137" s="13"/>
      <c r="B137" s="84"/>
      <c r="C137" s="13"/>
      <c r="D137" s="13"/>
      <c r="E137" s="13"/>
      <c r="F137" s="13"/>
      <c r="G137" s="13"/>
      <c r="H137" s="13"/>
      <c r="I137" s="13"/>
      <c r="J137" s="13"/>
      <c r="K137" s="13"/>
      <c r="L137" s="13"/>
      <c r="M137" s="13"/>
      <c r="N137" s="98"/>
      <c r="O137" s="98"/>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row>
    <row r="138">
      <c r="A138" s="13"/>
      <c r="B138" s="84"/>
      <c r="C138" s="13"/>
      <c r="D138" s="13"/>
      <c r="E138" s="13"/>
      <c r="F138" s="13"/>
      <c r="G138" s="13"/>
      <c r="H138" s="13"/>
      <c r="I138" s="13"/>
      <c r="J138" s="13"/>
      <c r="K138" s="13"/>
      <c r="L138" s="13"/>
      <c r="M138" s="13"/>
      <c r="N138" s="98"/>
      <c r="O138" s="98"/>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row>
    <row r="139">
      <c r="A139" s="13"/>
      <c r="B139" s="84"/>
      <c r="C139" s="13"/>
      <c r="D139" s="13"/>
      <c r="E139" s="13"/>
      <c r="F139" s="13"/>
      <c r="G139" s="13"/>
      <c r="H139" s="13"/>
      <c r="I139" s="13"/>
      <c r="J139" s="13"/>
      <c r="K139" s="13"/>
      <c r="L139" s="13"/>
      <c r="M139" s="13"/>
      <c r="N139" s="98"/>
      <c r="O139" s="98"/>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row>
    <row r="140">
      <c r="A140" s="13"/>
      <c r="B140" s="84"/>
      <c r="C140" s="13"/>
      <c r="D140" s="13"/>
      <c r="E140" s="13"/>
      <c r="F140" s="13"/>
      <c r="G140" s="13"/>
      <c r="H140" s="13"/>
      <c r="I140" s="13"/>
      <c r="J140" s="13"/>
      <c r="K140" s="13"/>
      <c r="L140" s="13"/>
      <c r="M140" s="13"/>
      <c r="N140" s="98"/>
      <c r="O140" s="98"/>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row>
    <row r="141">
      <c r="A141" s="13"/>
      <c r="B141" s="84"/>
      <c r="C141" s="13"/>
      <c r="D141" s="13"/>
      <c r="E141" s="13"/>
      <c r="F141" s="13"/>
      <c r="G141" s="13"/>
      <c r="H141" s="13"/>
      <c r="I141" s="13"/>
      <c r="J141" s="13"/>
      <c r="K141" s="13"/>
      <c r="L141" s="13"/>
      <c r="M141" s="13"/>
      <c r="N141" s="98"/>
      <c r="O141" s="98"/>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row>
    <row r="142">
      <c r="A142" s="13"/>
      <c r="B142" s="84"/>
      <c r="C142" s="13"/>
      <c r="D142" s="13"/>
      <c r="E142" s="13"/>
      <c r="F142" s="13"/>
      <c r="G142" s="13"/>
      <c r="H142" s="13"/>
      <c r="I142" s="13"/>
      <c r="J142" s="13"/>
      <c r="K142" s="13"/>
      <c r="L142" s="13"/>
      <c r="M142" s="13"/>
      <c r="N142" s="98"/>
      <c r="O142" s="98"/>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row>
    <row r="143">
      <c r="A143" s="13"/>
      <c r="B143" s="84"/>
      <c r="C143" s="13"/>
      <c r="D143" s="13"/>
      <c r="E143" s="13"/>
      <c r="F143" s="13"/>
      <c r="G143" s="13"/>
      <c r="H143" s="13"/>
      <c r="I143" s="13"/>
      <c r="J143" s="13"/>
      <c r="K143" s="13"/>
      <c r="L143" s="13"/>
      <c r="M143" s="13"/>
      <c r="N143" s="98"/>
      <c r="O143" s="98"/>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row>
    <row r="144">
      <c r="A144" s="13"/>
      <c r="B144" s="84"/>
      <c r="C144" s="13"/>
      <c r="D144" s="13"/>
      <c r="E144" s="13"/>
      <c r="F144" s="13"/>
      <c r="G144" s="13"/>
      <c r="H144" s="13"/>
      <c r="I144" s="13"/>
      <c r="J144" s="13"/>
      <c r="K144" s="13"/>
      <c r="L144" s="13"/>
      <c r="M144" s="13"/>
      <c r="N144" s="98"/>
      <c r="O144" s="98"/>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row>
    <row r="145">
      <c r="A145" s="13"/>
      <c r="B145" s="84"/>
      <c r="C145" s="13"/>
      <c r="D145" s="13"/>
      <c r="E145" s="13"/>
      <c r="F145" s="13"/>
      <c r="G145" s="13"/>
      <c r="H145" s="13"/>
      <c r="I145" s="13"/>
      <c r="J145" s="13"/>
      <c r="K145" s="13"/>
      <c r="L145" s="13"/>
      <c r="M145" s="13"/>
      <c r="N145" s="98"/>
      <c r="O145" s="98"/>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row>
    <row r="146">
      <c r="A146" s="13"/>
      <c r="B146" s="84"/>
      <c r="C146" s="13"/>
      <c r="D146" s="13"/>
      <c r="E146" s="13"/>
      <c r="F146" s="13"/>
      <c r="G146" s="13"/>
      <c r="H146" s="13"/>
      <c r="I146" s="13"/>
      <c r="J146" s="13"/>
      <c r="K146" s="13"/>
      <c r="L146" s="13"/>
      <c r="M146" s="13"/>
      <c r="N146" s="98"/>
      <c r="O146" s="98"/>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row>
    <row r="147">
      <c r="A147" s="13"/>
      <c r="B147" s="84"/>
      <c r="C147" s="13"/>
      <c r="D147" s="13"/>
      <c r="E147" s="13"/>
      <c r="F147" s="13"/>
      <c r="G147" s="13"/>
      <c r="H147" s="13"/>
      <c r="I147" s="13"/>
      <c r="J147" s="13"/>
      <c r="K147" s="13"/>
      <c r="L147" s="13"/>
      <c r="M147" s="13"/>
      <c r="N147" s="98"/>
      <c r="O147" s="98"/>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row>
    <row r="148">
      <c r="A148" s="13"/>
      <c r="B148" s="84"/>
      <c r="C148" s="13"/>
      <c r="D148" s="13"/>
      <c r="E148" s="13"/>
      <c r="F148" s="13"/>
      <c r="G148" s="13"/>
      <c r="H148" s="13"/>
      <c r="I148" s="13"/>
      <c r="J148" s="13"/>
      <c r="K148" s="13"/>
      <c r="L148" s="13"/>
      <c r="M148" s="13"/>
      <c r="N148" s="98"/>
      <c r="O148" s="98"/>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row>
    <row r="149">
      <c r="A149" s="13"/>
      <c r="B149" s="84"/>
      <c r="C149" s="13"/>
      <c r="D149" s="13"/>
      <c r="E149" s="13"/>
      <c r="F149" s="13"/>
      <c r="G149" s="13"/>
      <c r="H149" s="13"/>
      <c r="I149" s="13"/>
      <c r="J149" s="13"/>
      <c r="K149" s="13"/>
      <c r="L149" s="13"/>
      <c r="M149" s="13"/>
      <c r="N149" s="98"/>
      <c r="O149" s="98"/>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row>
    <row r="150">
      <c r="A150" s="13"/>
      <c r="B150" s="84"/>
      <c r="C150" s="13"/>
      <c r="D150" s="13"/>
      <c r="E150" s="13"/>
      <c r="F150" s="13"/>
      <c r="G150" s="13"/>
      <c r="H150" s="13"/>
      <c r="I150" s="13"/>
      <c r="J150" s="13"/>
      <c r="K150" s="13"/>
      <c r="L150" s="13"/>
      <c r="M150" s="13"/>
      <c r="N150" s="98"/>
      <c r="O150" s="98"/>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row>
    <row r="151">
      <c r="A151" s="13"/>
      <c r="B151" s="84"/>
      <c r="C151" s="13"/>
      <c r="D151" s="13"/>
      <c r="E151" s="13"/>
      <c r="F151" s="13"/>
      <c r="G151" s="13"/>
      <c r="H151" s="13"/>
      <c r="I151" s="13"/>
      <c r="J151" s="13"/>
      <c r="K151" s="13"/>
      <c r="L151" s="13"/>
      <c r="M151" s="13"/>
      <c r="N151" s="98"/>
      <c r="O151" s="98"/>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row>
    <row r="152">
      <c r="A152" s="13"/>
      <c r="B152" s="84"/>
      <c r="C152" s="13"/>
      <c r="D152" s="13"/>
      <c r="E152" s="13"/>
      <c r="F152" s="13"/>
      <c r="G152" s="13"/>
      <c r="H152" s="13"/>
      <c r="I152" s="13"/>
      <c r="J152" s="13"/>
      <c r="K152" s="13"/>
      <c r="L152" s="13"/>
      <c r="M152" s="13"/>
      <c r="N152" s="98"/>
      <c r="O152" s="98"/>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row>
    <row r="153">
      <c r="A153" s="13"/>
      <c r="B153" s="84"/>
      <c r="C153" s="13"/>
      <c r="D153" s="13"/>
      <c r="E153" s="13"/>
      <c r="F153" s="13"/>
      <c r="G153" s="13"/>
      <c r="H153" s="13"/>
      <c r="I153" s="13"/>
      <c r="J153" s="13"/>
      <c r="K153" s="13"/>
      <c r="L153" s="13"/>
      <c r="M153" s="13"/>
      <c r="N153" s="98"/>
      <c r="O153" s="98"/>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row>
    <row r="154">
      <c r="A154" s="13"/>
      <c r="B154" s="84"/>
      <c r="C154" s="13"/>
      <c r="D154" s="13"/>
      <c r="E154" s="13"/>
      <c r="F154" s="13"/>
      <c r="G154" s="13"/>
      <c r="H154" s="13"/>
      <c r="I154" s="13"/>
      <c r="J154" s="13"/>
      <c r="K154" s="13"/>
      <c r="L154" s="13"/>
      <c r="M154" s="13"/>
      <c r="N154" s="98"/>
      <c r="O154" s="98"/>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row>
    <row r="155">
      <c r="A155" s="13"/>
      <c r="B155" s="84"/>
      <c r="C155" s="13"/>
      <c r="D155" s="13"/>
      <c r="E155" s="13"/>
      <c r="F155" s="13"/>
      <c r="G155" s="13"/>
      <c r="H155" s="13"/>
      <c r="I155" s="13"/>
      <c r="J155" s="13"/>
      <c r="K155" s="13"/>
      <c r="L155" s="13"/>
      <c r="M155" s="13"/>
      <c r="N155" s="98"/>
      <c r="O155" s="98"/>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row>
    <row r="156">
      <c r="A156" s="13"/>
      <c r="B156" s="84"/>
      <c r="C156" s="13"/>
      <c r="D156" s="13"/>
      <c r="E156" s="13"/>
      <c r="F156" s="13"/>
      <c r="G156" s="13"/>
      <c r="H156" s="13"/>
      <c r="I156" s="13"/>
      <c r="J156" s="13"/>
      <c r="K156" s="13"/>
      <c r="L156" s="13"/>
      <c r="M156" s="13"/>
      <c r="N156" s="98"/>
      <c r="O156" s="98"/>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row>
    <row r="157">
      <c r="A157" s="13"/>
      <c r="B157" s="84"/>
      <c r="C157" s="13"/>
      <c r="D157" s="13"/>
      <c r="E157" s="13"/>
      <c r="F157" s="13"/>
      <c r="G157" s="13"/>
      <c r="H157" s="13"/>
      <c r="I157" s="13"/>
      <c r="J157" s="13"/>
      <c r="K157" s="13"/>
      <c r="L157" s="13"/>
      <c r="M157" s="13"/>
      <c r="N157" s="98"/>
      <c r="O157" s="98"/>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row>
    <row r="158">
      <c r="A158" s="13"/>
      <c r="B158" s="84"/>
      <c r="C158" s="13"/>
      <c r="D158" s="13"/>
      <c r="E158" s="13"/>
      <c r="F158" s="13"/>
      <c r="G158" s="13"/>
      <c r="H158" s="13"/>
      <c r="I158" s="13"/>
      <c r="J158" s="13"/>
      <c r="K158" s="13"/>
      <c r="L158" s="13"/>
      <c r="M158" s="13"/>
      <c r="N158" s="98"/>
      <c r="O158" s="98"/>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row>
    <row r="159">
      <c r="A159" s="13"/>
      <c r="B159" s="84"/>
      <c r="C159" s="13"/>
      <c r="D159" s="13"/>
      <c r="E159" s="13"/>
      <c r="F159" s="13"/>
      <c r="G159" s="13"/>
      <c r="H159" s="13"/>
      <c r="I159" s="13"/>
      <c r="J159" s="13"/>
      <c r="K159" s="13"/>
      <c r="L159" s="13"/>
      <c r="M159" s="13"/>
      <c r="N159" s="98"/>
      <c r="O159" s="98"/>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row>
    <row r="160">
      <c r="A160" s="13"/>
      <c r="B160" s="84"/>
      <c r="C160" s="13"/>
      <c r="D160" s="13"/>
      <c r="E160" s="13"/>
      <c r="F160" s="13"/>
      <c r="G160" s="13"/>
      <c r="H160" s="13"/>
      <c r="I160" s="13"/>
      <c r="J160" s="13"/>
      <c r="K160" s="13"/>
      <c r="L160" s="13"/>
      <c r="M160" s="13"/>
      <c r="N160" s="98"/>
      <c r="O160" s="98"/>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row>
    <row r="161">
      <c r="A161" s="13"/>
      <c r="B161" s="84"/>
      <c r="C161" s="13"/>
      <c r="D161" s="13"/>
      <c r="E161" s="13"/>
      <c r="F161" s="13"/>
      <c r="G161" s="13"/>
      <c r="H161" s="13"/>
      <c r="I161" s="13"/>
      <c r="J161" s="13"/>
      <c r="K161" s="13"/>
      <c r="L161" s="13"/>
      <c r="M161" s="13"/>
      <c r="N161" s="98"/>
      <c r="O161" s="98"/>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row>
    <row r="162">
      <c r="A162" s="13"/>
      <c r="B162" s="84"/>
      <c r="C162" s="13"/>
      <c r="D162" s="13"/>
      <c r="E162" s="13"/>
      <c r="F162" s="13"/>
      <c r="G162" s="13"/>
      <c r="H162" s="13"/>
      <c r="I162" s="13"/>
      <c r="J162" s="13"/>
      <c r="K162" s="13"/>
      <c r="L162" s="13"/>
      <c r="M162" s="13"/>
      <c r="N162" s="98"/>
      <c r="O162" s="98"/>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row>
    <row r="163">
      <c r="A163" s="13"/>
      <c r="B163" s="84"/>
      <c r="C163" s="13"/>
      <c r="D163" s="13"/>
      <c r="E163" s="13"/>
      <c r="F163" s="13"/>
      <c r="G163" s="13"/>
      <c r="H163" s="13"/>
      <c r="I163" s="13"/>
      <c r="J163" s="13"/>
      <c r="K163" s="13"/>
      <c r="L163" s="13"/>
      <c r="M163" s="13"/>
      <c r="N163" s="98"/>
      <c r="O163" s="98"/>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row>
    <row r="164">
      <c r="A164" s="13"/>
      <c r="B164" s="84"/>
      <c r="C164" s="13"/>
      <c r="D164" s="13"/>
      <c r="E164" s="13"/>
      <c r="F164" s="13"/>
      <c r="G164" s="13"/>
      <c r="H164" s="13"/>
      <c r="I164" s="13"/>
      <c r="J164" s="13"/>
      <c r="K164" s="13"/>
      <c r="L164" s="13"/>
      <c r="M164" s="13"/>
      <c r="N164" s="98"/>
      <c r="O164" s="98"/>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row>
    <row r="165">
      <c r="A165" s="13"/>
      <c r="B165" s="84"/>
      <c r="C165" s="13"/>
      <c r="D165" s="13"/>
      <c r="E165" s="13"/>
      <c r="F165" s="13"/>
      <c r="G165" s="13"/>
      <c r="H165" s="13"/>
      <c r="I165" s="13"/>
      <c r="J165" s="13"/>
      <c r="K165" s="13"/>
      <c r="L165" s="13"/>
      <c r="M165" s="13"/>
      <c r="N165" s="98"/>
      <c r="O165" s="98"/>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row>
    <row r="166">
      <c r="A166" s="13"/>
      <c r="B166" s="84"/>
      <c r="C166" s="13"/>
      <c r="D166" s="13"/>
      <c r="E166" s="13"/>
      <c r="F166" s="13"/>
      <c r="G166" s="13"/>
      <c r="H166" s="13"/>
      <c r="I166" s="13"/>
      <c r="J166" s="13"/>
      <c r="K166" s="13"/>
      <c r="L166" s="13"/>
      <c r="M166" s="13"/>
      <c r="N166" s="98"/>
      <c r="O166" s="98"/>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row>
    <row r="167">
      <c r="A167" s="13"/>
      <c r="B167" s="84"/>
      <c r="C167" s="13"/>
      <c r="D167" s="13"/>
      <c r="E167" s="13"/>
      <c r="F167" s="13"/>
      <c r="G167" s="13"/>
      <c r="H167" s="13"/>
      <c r="I167" s="13"/>
      <c r="J167" s="13"/>
      <c r="K167" s="13"/>
      <c r="L167" s="13"/>
      <c r="M167" s="13"/>
      <c r="N167" s="98"/>
      <c r="O167" s="98"/>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row>
    <row r="168">
      <c r="A168" s="13"/>
      <c r="B168" s="84"/>
      <c r="C168" s="13"/>
      <c r="D168" s="13"/>
      <c r="E168" s="13"/>
      <c r="F168" s="13"/>
      <c r="G168" s="13"/>
      <c r="H168" s="13"/>
      <c r="I168" s="13"/>
      <c r="J168" s="13"/>
      <c r="K168" s="13"/>
      <c r="L168" s="13"/>
      <c r="M168" s="13"/>
      <c r="N168" s="98"/>
      <c r="O168" s="98"/>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row>
    <row r="169">
      <c r="A169" s="13"/>
      <c r="B169" s="84"/>
      <c r="C169" s="13"/>
      <c r="D169" s="13"/>
      <c r="E169" s="13"/>
      <c r="F169" s="13"/>
      <c r="G169" s="13"/>
      <c r="H169" s="13"/>
      <c r="I169" s="13"/>
      <c r="J169" s="13"/>
      <c r="K169" s="13"/>
      <c r="L169" s="13"/>
      <c r="M169" s="13"/>
      <c r="N169" s="98"/>
      <c r="O169" s="98"/>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row>
    <row r="170">
      <c r="A170" s="13"/>
      <c r="B170" s="84"/>
      <c r="C170" s="13"/>
      <c r="D170" s="13"/>
      <c r="E170" s="13"/>
      <c r="F170" s="13"/>
      <c r="G170" s="13"/>
      <c r="H170" s="13"/>
      <c r="I170" s="13"/>
      <c r="J170" s="13"/>
      <c r="K170" s="13"/>
      <c r="L170" s="13"/>
      <c r="M170" s="13"/>
      <c r="N170" s="98"/>
      <c r="O170" s="98"/>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row>
    <row r="171">
      <c r="A171" s="13"/>
      <c r="B171" s="84"/>
      <c r="C171" s="13"/>
      <c r="D171" s="13"/>
      <c r="E171" s="13"/>
      <c r="F171" s="13"/>
      <c r="G171" s="13"/>
      <c r="H171" s="13"/>
      <c r="I171" s="13"/>
      <c r="J171" s="13"/>
      <c r="K171" s="13"/>
      <c r="L171" s="13"/>
      <c r="M171" s="13"/>
      <c r="N171" s="98"/>
      <c r="O171" s="98"/>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row>
    <row r="172">
      <c r="A172" s="13"/>
      <c r="B172" s="84"/>
      <c r="C172" s="13"/>
      <c r="D172" s="13"/>
      <c r="E172" s="13"/>
      <c r="F172" s="13"/>
      <c r="G172" s="13"/>
      <c r="H172" s="13"/>
      <c r="I172" s="13"/>
      <c r="J172" s="13"/>
      <c r="K172" s="13"/>
      <c r="L172" s="13"/>
      <c r="M172" s="13"/>
      <c r="N172" s="98"/>
      <c r="O172" s="98"/>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row>
    <row r="173">
      <c r="A173" s="13"/>
      <c r="B173" s="84"/>
      <c r="C173" s="13"/>
      <c r="D173" s="13"/>
      <c r="E173" s="13"/>
      <c r="F173" s="13"/>
      <c r="G173" s="13"/>
      <c r="H173" s="13"/>
      <c r="I173" s="13"/>
      <c r="J173" s="13"/>
      <c r="K173" s="13"/>
      <c r="L173" s="13"/>
      <c r="M173" s="13"/>
      <c r="N173" s="98"/>
      <c r="O173" s="98"/>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row>
    <row r="174">
      <c r="A174" s="13"/>
      <c r="B174" s="84"/>
      <c r="C174" s="13"/>
      <c r="D174" s="13"/>
      <c r="E174" s="13"/>
      <c r="F174" s="13"/>
      <c r="G174" s="13"/>
      <c r="H174" s="13"/>
      <c r="I174" s="13"/>
      <c r="J174" s="13"/>
      <c r="K174" s="13"/>
      <c r="L174" s="13"/>
      <c r="M174" s="13"/>
      <c r="N174" s="98"/>
      <c r="O174" s="98"/>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row>
    <row r="175">
      <c r="A175" s="13"/>
      <c r="B175" s="84"/>
      <c r="C175" s="13"/>
      <c r="D175" s="13"/>
      <c r="E175" s="13"/>
      <c r="F175" s="13"/>
      <c r="G175" s="13"/>
      <c r="H175" s="13"/>
      <c r="I175" s="13"/>
      <c r="J175" s="13"/>
      <c r="K175" s="13"/>
      <c r="L175" s="13"/>
      <c r="M175" s="13"/>
      <c r="N175" s="98"/>
      <c r="O175" s="98"/>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row>
    <row r="176">
      <c r="A176" s="13"/>
      <c r="B176" s="84"/>
      <c r="C176" s="13"/>
      <c r="D176" s="13"/>
      <c r="E176" s="13"/>
      <c r="F176" s="13"/>
      <c r="G176" s="13"/>
      <c r="H176" s="13"/>
      <c r="I176" s="13"/>
      <c r="J176" s="13"/>
      <c r="K176" s="13"/>
      <c r="L176" s="13"/>
      <c r="M176" s="13"/>
      <c r="N176" s="98"/>
      <c r="O176" s="98"/>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row>
    <row r="177">
      <c r="A177" s="13"/>
      <c r="B177" s="84"/>
      <c r="C177" s="13"/>
      <c r="D177" s="13"/>
      <c r="E177" s="13"/>
      <c r="F177" s="13"/>
      <c r="G177" s="13"/>
      <c r="H177" s="13"/>
      <c r="I177" s="13"/>
      <c r="J177" s="13"/>
      <c r="K177" s="13"/>
      <c r="L177" s="13"/>
      <c r="M177" s="13"/>
      <c r="N177" s="98"/>
      <c r="O177" s="98"/>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row>
    <row r="178">
      <c r="A178" s="13"/>
      <c r="B178" s="84"/>
      <c r="C178" s="13"/>
      <c r="D178" s="13"/>
      <c r="E178" s="13"/>
      <c r="F178" s="13"/>
      <c r="G178" s="13"/>
      <c r="H178" s="13"/>
      <c r="I178" s="13"/>
      <c r="J178" s="13"/>
      <c r="K178" s="13"/>
      <c r="L178" s="13"/>
      <c r="M178" s="13"/>
      <c r="N178" s="98"/>
      <c r="O178" s="98"/>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row>
    <row r="179">
      <c r="A179" s="13"/>
      <c r="B179" s="84"/>
      <c r="C179" s="13"/>
      <c r="D179" s="13"/>
      <c r="E179" s="13"/>
      <c r="F179" s="13"/>
      <c r="G179" s="13"/>
      <c r="H179" s="13"/>
      <c r="I179" s="13"/>
      <c r="J179" s="13"/>
      <c r="K179" s="13"/>
      <c r="L179" s="13"/>
      <c r="M179" s="13"/>
      <c r="N179" s="98"/>
      <c r="O179" s="98"/>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row>
    <row r="180">
      <c r="A180" s="13"/>
      <c r="B180" s="84"/>
      <c r="C180" s="13"/>
      <c r="D180" s="13"/>
      <c r="E180" s="13"/>
      <c r="F180" s="13"/>
      <c r="G180" s="13"/>
      <c r="H180" s="13"/>
      <c r="I180" s="13"/>
      <c r="J180" s="13"/>
      <c r="K180" s="13"/>
      <c r="L180" s="13"/>
      <c r="M180" s="13"/>
      <c r="N180" s="98"/>
      <c r="O180" s="98"/>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row>
    <row r="181">
      <c r="A181" s="13"/>
      <c r="B181" s="84"/>
      <c r="C181" s="13"/>
      <c r="D181" s="13"/>
      <c r="E181" s="13"/>
      <c r="F181" s="13"/>
      <c r="G181" s="13"/>
      <c r="H181" s="13"/>
      <c r="I181" s="13"/>
      <c r="J181" s="13"/>
      <c r="K181" s="13"/>
      <c r="L181" s="13"/>
      <c r="M181" s="13"/>
      <c r="N181" s="98"/>
      <c r="O181" s="98"/>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row>
    <row r="182">
      <c r="A182" s="13"/>
      <c r="B182" s="84"/>
      <c r="C182" s="13"/>
      <c r="D182" s="13"/>
      <c r="E182" s="13"/>
      <c r="F182" s="13"/>
      <c r="G182" s="13"/>
      <c r="H182" s="13"/>
      <c r="I182" s="13"/>
      <c r="J182" s="13"/>
      <c r="K182" s="13"/>
      <c r="L182" s="13"/>
      <c r="M182" s="13"/>
      <c r="N182" s="98"/>
      <c r="O182" s="98"/>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row>
    <row r="183">
      <c r="A183" s="13"/>
      <c r="B183" s="84"/>
      <c r="C183" s="13"/>
      <c r="D183" s="13"/>
      <c r="E183" s="13"/>
      <c r="F183" s="13"/>
      <c r="G183" s="13"/>
      <c r="H183" s="13"/>
      <c r="I183" s="13"/>
      <c r="J183" s="13"/>
      <c r="K183" s="13"/>
      <c r="L183" s="13"/>
      <c r="M183" s="13"/>
      <c r="N183" s="98"/>
      <c r="O183" s="98"/>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row>
    <row r="184">
      <c r="A184" s="13"/>
      <c r="B184" s="84"/>
      <c r="C184" s="13"/>
      <c r="D184" s="13"/>
      <c r="E184" s="13"/>
      <c r="F184" s="13"/>
      <c r="G184" s="13"/>
      <c r="H184" s="13"/>
      <c r="I184" s="13"/>
      <c r="J184" s="13"/>
      <c r="K184" s="13"/>
      <c r="L184" s="13"/>
      <c r="M184" s="13"/>
      <c r="N184" s="98"/>
      <c r="O184" s="98"/>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row>
    <row r="185">
      <c r="A185" s="13"/>
      <c r="B185" s="84"/>
      <c r="C185" s="13"/>
      <c r="D185" s="13"/>
      <c r="E185" s="13"/>
      <c r="F185" s="13"/>
      <c r="G185" s="13"/>
      <c r="H185" s="13"/>
      <c r="I185" s="13"/>
      <c r="J185" s="13"/>
      <c r="K185" s="13"/>
      <c r="L185" s="13"/>
      <c r="M185" s="13"/>
      <c r="N185" s="98"/>
      <c r="O185" s="98"/>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row>
    <row r="186">
      <c r="A186" s="13"/>
      <c r="B186" s="84"/>
      <c r="C186" s="13"/>
      <c r="D186" s="13"/>
      <c r="E186" s="13"/>
      <c r="F186" s="13"/>
      <c r="G186" s="13"/>
      <c r="H186" s="13"/>
      <c r="I186" s="13"/>
      <c r="J186" s="13"/>
      <c r="K186" s="13"/>
      <c r="L186" s="13"/>
      <c r="M186" s="13"/>
      <c r="N186" s="98"/>
      <c r="O186" s="98"/>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row>
    <row r="187">
      <c r="A187" s="13"/>
      <c r="B187" s="84"/>
      <c r="C187" s="13"/>
      <c r="D187" s="13"/>
      <c r="E187" s="13"/>
      <c r="F187" s="13"/>
      <c r="G187" s="13"/>
      <c r="H187" s="13"/>
      <c r="I187" s="13"/>
      <c r="J187" s="13"/>
      <c r="K187" s="13"/>
      <c r="L187" s="13"/>
      <c r="M187" s="13"/>
      <c r="N187" s="98"/>
      <c r="O187" s="98"/>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row>
    <row r="188">
      <c r="A188" s="13"/>
      <c r="B188" s="84"/>
      <c r="C188" s="13"/>
      <c r="D188" s="13"/>
      <c r="E188" s="13"/>
      <c r="F188" s="13"/>
      <c r="G188" s="13"/>
      <c r="H188" s="13"/>
      <c r="I188" s="13"/>
      <c r="J188" s="13"/>
      <c r="K188" s="13"/>
      <c r="L188" s="13"/>
      <c r="M188" s="13"/>
      <c r="N188" s="98"/>
      <c r="O188" s="98"/>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row>
    <row r="189">
      <c r="A189" s="13"/>
      <c r="B189" s="84"/>
      <c r="C189" s="13"/>
      <c r="D189" s="13"/>
      <c r="E189" s="13"/>
      <c r="F189" s="13"/>
      <c r="G189" s="13"/>
      <c r="H189" s="13"/>
      <c r="I189" s="13"/>
      <c r="J189" s="13"/>
      <c r="K189" s="13"/>
      <c r="L189" s="13"/>
      <c r="M189" s="13"/>
      <c r="N189" s="98"/>
      <c r="O189" s="98"/>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row>
    <row r="190">
      <c r="A190" s="13"/>
      <c r="B190" s="84"/>
      <c r="C190" s="13"/>
      <c r="D190" s="13"/>
      <c r="E190" s="13"/>
      <c r="F190" s="13"/>
      <c r="G190" s="13"/>
      <c r="H190" s="13"/>
      <c r="I190" s="13"/>
      <c r="J190" s="13"/>
      <c r="K190" s="13"/>
      <c r="L190" s="13"/>
      <c r="M190" s="13"/>
      <c r="N190" s="98"/>
      <c r="O190" s="98"/>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row>
    <row r="191">
      <c r="A191" s="13"/>
      <c r="B191" s="84"/>
      <c r="C191" s="13"/>
      <c r="D191" s="13"/>
      <c r="E191" s="13"/>
      <c r="F191" s="13"/>
      <c r="G191" s="13"/>
      <c r="H191" s="13"/>
      <c r="I191" s="13"/>
      <c r="J191" s="13"/>
      <c r="K191" s="13"/>
      <c r="L191" s="13"/>
      <c r="M191" s="13"/>
      <c r="N191" s="98"/>
      <c r="O191" s="98"/>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row>
    <row r="192">
      <c r="A192" s="13"/>
      <c r="B192" s="84"/>
      <c r="C192" s="13"/>
      <c r="D192" s="13"/>
      <c r="E192" s="13"/>
      <c r="F192" s="13"/>
      <c r="G192" s="13"/>
      <c r="H192" s="13"/>
      <c r="I192" s="13"/>
      <c r="J192" s="13"/>
      <c r="K192" s="13"/>
      <c r="L192" s="13"/>
      <c r="M192" s="13"/>
      <c r="N192" s="98"/>
      <c r="O192" s="98"/>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row>
    <row r="193">
      <c r="A193" s="13"/>
      <c r="B193" s="84"/>
      <c r="C193" s="13"/>
      <c r="D193" s="13"/>
      <c r="E193" s="13"/>
      <c r="F193" s="13"/>
      <c r="G193" s="13"/>
      <c r="H193" s="13"/>
      <c r="I193" s="13"/>
      <c r="J193" s="13"/>
      <c r="K193" s="13"/>
      <c r="L193" s="13"/>
      <c r="M193" s="13"/>
      <c r="N193" s="98"/>
      <c r="O193" s="98"/>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row>
    <row r="194">
      <c r="A194" s="13"/>
      <c r="B194" s="84"/>
      <c r="C194" s="13"/>
      <c r="D194" s="13"/>
      <c r="E194" s="13"/>
      <c r="F194" s="13"/>
      <c r="G194" s="13"/>
      <c r="H194" s="13"/>
      <c r="I194" s="13"/>
      <c r="J194" s="13"/>
      <c r="K194" s="13"/>
      <c r="L194" s="13"/>
      <c r="M194" s="13"/>
      <c r="N194" s="98"/>
      <c r="O194" s="98"/>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row>
    <row r="195">
      <c r="A195" s="13"/>
      <c r="B195" s="84"/>
      <c r="C195" s="13"/>
      <c r="D195" s="13"/>
      <c r="E195" s="13"/>
      <c r="F195" s="13"/>
      <c r="G195" s="13"/>
      <c r="H195" s="13"/>
      <c r="I195" s="13"/>
      <c r="J195" s="13"/>
      <c r="K195" s="13"/>
      <c r="L195" s="13"/>
      <c r="M195" s="13"/>
      <c r="N195" s="98"/>
      <c r="O195" s="98"/>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row>
    <row r="196">
      <c r="A196" s="13"/>
      <c r="B196" s="84"/>
      <c r="C196" s="13"/>
      <c r="D196" s="13"/>
      <c r="E196" s="13"/>
      <c r="F196" s="13"/>
      <c r="G196" s="13"/>
      <c r="H196" s="13"/>
      <c r="I196" s="13"/>
      <c r="J196" s="13"/>
      <c r="K196" s="13"/>
      <c r="L196" s="13"/>
      <c r="M196" s="13"/>
      <c r="N196" s="98"/>
      <c r="O196" s="98"/>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row>
    <row r="197">
      <c r="A197" s="13"/>
      <c r="B197" s="84"/>
      <c r="C197" s="13"/>
      <c r="D197" s="13"/>
      <c r="E197" s="13"/>
      <c r="F197" s="13"/>
      <c r="G197" s="13"/>
      <c r="H197" s="13"/>
      <c r="I197" s="13"/>
      <c r="J197" s="13"/>
      <c r="K197" s="13"/>
      <c r="L197" s="13"/>
      <c r="M197" s="13"/>
      <c r="N197" s="98"/>
      <c r="O197" s="98"/>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row>
    <row r="198">
      <c r="A198" s="13"/>
      <c r="B198" s="84"/>
      <c r="C198" s="13"/>
      <c r="D198" s="13"/>
      <c r="E198" s="13"/>
      <c r="F198" s="13"/>
      <c r="G198" s="13"/>
      <c r="H198" s="13"/>
      <c r="I198" s="13"/>
      <c r="J198" s="13"/>
      <c r="K198" s="13"/>
      <c r="L198" s="13"/>
      <c r="M198" s="13"/>
      <c r="N198" s="98"/>
      <c r="O198" s="98"/>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row>
    <row r="199">
      <c r="A199" s="13"/>
      <c r="B199" s="84"/>
      <c r="C199" s="13"/>
      <c r="D199" s="13"/>
      <c r="E199" s="13"/>
      <c r="F199" s="13"/>
      <c r="G199" s="13"/>
      <c r="H199" s="13"/>
      <c r="I199" s="13"/>
      <c r="J199" s="13"/>
      <c r="K199" s="13"/>
      <c r="L199" s="13"/>
      <c r="M199" s="13"/>
      <c r="N199" s="98"/>
      <c r="O199" s="98"/>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row>
    <row r="200">
      <c r="A200" s="13"/>
      <c r="B200" s="84"/>
      <c r="C200" s="13"/>
      <c r="D200" s="13"/>
      <c r="E200" s="13"/>
      <c r="F200" s="13"/>
      <c r="G200" s="13"/>
      <c r="H200" s="13"/>
      <c r="I200" s="13"/>
      <c r="J200" s="13"/>
      <c r="K200" s="13"/>
      <c r="L200" s="13"/>
      <c r="M200" s="13"/>
      <c r="N200" s="98"/>
      <c r="O200" s="98"/>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row>
    <row r="201">
      <c r="A201" s="13"/>
      <c r="B201" s="84"/>
      <c r="C201" s="13"/>
      <c r="D201" s="13"/>
      <c r="E201" s="13"/>
      <c r="F201" s="13"/>
      <c r="G201" s="13"/>
      <c r="H201" s="13"/>
      <c r="I201" s="13"/>
      <c r="J201" s="13"/>
      <c r="K201" s="13"/>
      <c r="L201" s="13"/>
      <c r="M201" s="13"/>
      <c r="N201" s="98"/>
      <c r="O201" s="98"/>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row>
    <row r="202">
      <c r="A202" s="13"/>
      <c r="B202" s="84"/>
      <c r="C202" s="13"/>
      <c r="D202" s="13"/>
      <c r="E202" s="13"/>
      <c r="F202" s="13"/>
      <c r="G202" s="13"/>
      <c r="H202" s="13"/>
      <c r="I202" s="13"/>
      <c r="J202" s="13"/>
      <c r="K202" s="13"/>
      <c r="L202" s="13"/>
      <c r="M202" s="13"/>
      <c r="N202" s="98"/>
      <c r="O202" s="98"/>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row>
    <row r="203">
      <c r="A203" s="13"/>
      <c r="B203" s="84"/>
      <c r="C203" s="13"/>
      <c r="D203" s="13"/>
      <c r="E203" s="13"/>
      <c r="F203" s="13"/>
      <c r="G203" s="13"/>
      <c r="H203" s="13"/>
      <c r="I203" s="13"/>
      <c r="J203" s="13"/>
      <c r="K203" s="13"/>
      <c r="L203" s="13"/>
      <c r="M203" s="13"/>
      <c r="N203" s="98"/>
      <c r="O203" s="98"/>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row>
    <row r="204">
      <c r="A204" s="13"/>
      <c r="B204" s="84"/>
      <c r="C204" s="13"/>
      <c r="D204" s="13"/>
      <c r="E204" s="13"/>
      <c r="F204" s="13"/>
      <c r="G204" s="13"/>
      <c r="H204" s="13"/>
      <c r="I204" s="13"/>
      <c r="J204" s="13"/>
      <c r="K204" s="13"/>
      <c r="L204" s="13"/>
      <c r="M204" s="13"/>
      <c r="N204" s="98"/>
      <c r="O204" s="98"/>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row>
    <row r="205">
      <c r="A205" s="13"/>
      <c r="B205" s="84"/>
      <c r="C205" s="13"/>
      <c r="D205" s="13"/>
      <c r="E205" s="13"/>
      <c r="F205" s="13"/>
      <c r="G205" s="13"/>
      <c r="H205" s="13"/>
      <c r="I205" s="13"/>
      <c r="J205" s="13"/>
      <c r="K205" s="13"/>
      <c r="L205" s="13"/>
      <c r="M205" s="13"/>
      <c r="N205" s="98"/>
      <c r="O205" s="98"/>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row>
    <row r="206">
      <c r="A206" s="13"/>
      <c r="B206" s="84"/>
      <c r="C206" s="13"/>
      <c r="D206" s="13"/>
      <c r="E206" s="13"/>
      <c r="F206" s="13"/>
      <c r="G206" s="13"/>
      <c r="H206" s="13"/>
      <c r="I206" s="13"/>
      <c r="J206" s="13"/>
      <c r="K206" s="13"/>
      <c r="L206" s="13"/>
      <c r="M206" s="13"/>
      <c r="N206" s="98"/>
      <c r="O206" s="98"/>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row>
    <row r="207">
      <c r="A207" s="13"/>
      <c r="B207" s="84"/>
      <c r="C207" s="13"/>
      <c r="D207" s="13"/>
      <c r="E207" s="13"/>
      <c r="F207" s="13"/>
      <c r="G207" s="13"/>
      <c r="H207" s="13"/>
      <c r="I207" s="13"/>
      <c r="J207" s="13"/>
      <c r="K207" s="13"/>
      <c r="L207" s="13"/>
      <c r="M207" s="13"/>
      <c r="N207" s="98"/>
      <c r="O207" s="98"/>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row>
    <row r="208">
      <c r="A208" s="13"/>
      <c r="B208" s="84"/>
      <c r="C208" s="13"/>
      <c r="D208" s="13"/>
      <c r="E208" s="13"/>
      <c r="F208" s="13"/>
      <c r="G208" s="13"/>
      <c r="H208" s="13"/>
      <c r="I208" s="13"/>
      <c r="J208" s="13"/>
      <c r="K208" s="13"/>
      <c r="L208" s="13"/>
      <c r="M208" s="13"/>
      <c r="N208" s="98"/>
      <c r="O208" s="98"/>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row>
    <row r="209">
      <c r="A209" s="13"/>
      <c r="B209" s="84"/>
      <c r="C209" s="13"/>
      <c r="D209" s="13"/>
      <c r="E209" s="13"/>
      <c r="F209" s="13"/>
      <c r="G209" s="13"/>
      <c r="H209" s="13"/>
      <c r="I209" s="13"/>
      <c r="J209" s="13"/>
      <c r="K209" s="13"/>
      <c r="L209" s="13"/>
      <c r="M209" s="13"/>
      <c r="N209" s="98"/>
      <c r="O209" s="98"/>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row>
    <row r="210">
      <c r="A210" s="13"/>
      <c r="B210" s="84"/>
      <c r="C210" s="13"/>
      <c r="D210" s="13"/>
      <c r="E210" s="13"/>
      <c r="F210" s="13"/>
      <c r="G210" s="13"/>
      <c r="H210" s="13"/>
      <c r="I210" s="13"/>
      <c r="J210" s="13"/>
      <c r="K210" s="13"/>
      <c r="L210" s="13"/>
      <c r="M210" s="13"/>
      <c r="N210" s="98"/>
      <c r="O210" s="98"/>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row>
    <row r="211">
      <c r="A211" s="13"/>
      <c r="B211" s="84"/>
      <c r="C211" s="13"/>
      <c r="D211" s="13"/>
      <c r="E211" s="13"/>
      <c r="F211" s="13"/>
      <c r="G211" s="13"/>
      <c r="H211" s="13"/>
      <c r="I211" s="13"/>
      <c r="J211" s="13"/>
      <c r="K211" s="13"/>
      <c r="L211" s="13"/>
      <c r="M211" s="13"/>
      <c r="N211" s="98"/>
      <c r="O211" s="98"/>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row>
    <row r="212">
      <c r="A212" s="13"/>
      <c r="B212" s="84"/>
      <c r="C212" s="13"/>
      <c r="D212" s="13"/>
      <c r="E212" s="13"/>
      <c r="F212" s="13"/>
      <c r="G212" s="13"/>
      <c r="H212" s="13"/>
      <c r="I212" s="13"/>
      <c r="J212" s="13"/>
      <c r="K212" s="13"/>
      <c r="L212" s="13"/>
      <c r="M212" s="13"/>
      <c r="N212" s="98"/>
      <c r="O212" s="98"/>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row>
    <row r="213">
      <c r="A213" s="13"/>
      <c r="B213" s="84"/>
      <c r="C213" s="13"/>
      <c r="D213" s="13"/>
      <c r="E213" s="13"/>
      <c r="F213" s="13"/>
      <c r="G213" s="13"/>
      <c r="H213" s="13"/>
      <c r="I213" s="13"/>
      <c r="J213" s="13"/>
      <c r="K213" s="13"/>
      <c r="L213" s="13"/>
      <c r="M213" s="13"/>
      <c r="N213" s="98"/>
      <c r="O213" s="98"/>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row>
    <row r="214">
      <c r="A214" s="13"/>
      <c r="B214" s="84"/>
      <c r="C214" s="13"/>
      <c r="D214" s="13"/>
      <c r="E214" s="13"/>
      <c r="F214" s="13"/>
      <c r="G214" s="13"/>
      <c r="H214" s="13"/>
      <c r="I214" s="13"/>
      <c r="J214" s="13"/>
      <c r="K214" s="13"/>
      <c r="L214" s="13"/>
      <c r="M214" s="13"/>
      <c r="N214" s="98"/>
      <c r="O214" s="98"/>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row>
    <row r="215">
      <c r="A215" s="13"/>
      <c r="B215" s="84"/>
      <c r="C215" s="13"/>
      <c r="D215" s="13"/>
      <c r="E215" s="13"/>
      <c r="F215" s="13"/>
      <c r="G215" s="13"/>
      <c r="H215" s="13"/>
      <c r="I215" s="13"/>
      <c r="J215" s="13"/>
      <c r="K215" s="13"/>
      <c r="L215" s="13"/>
      <c r="M215" s="13"/>
      <c r="N215" s="98"/>
      <c r="O215" s="98"/>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row>
    <row r="216">
      <c r="A216" s="13"/>
      <c r="B216" s="84"/>
      <c r="C216" s="13"/>
      <c r="D216" s="13"/>
      <c r="E216" s="13"/>
      <c r="F216" s="13"/>
      <c r="G216" s="13"/>
      <c r="H216" s="13"/>
      <c r="I216" s="13"/>
      <c r="J216" s="13"/>
      <c r="K216" s="13"/>
      <c r="L216" s="13"/>
      <c r="M216" s="13"/>
      <c r="N216" s="98"/>
      <c r="O216" s="98"/>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row>
    <row r="217">
      <c r="A217" s="13"/>
      <c r="B217" s="84"/>
      <c r="C217" s="13"/>
      <c r="D217" s="13"/>
      <c r="E217" s="13"/>
      <c r="F217" s="13"/>
      <c r="G217" s="13"/>
      <c r="H217" s="13"/>
      <c r="I217" s="13"/>
      <c r="J217" s="13"/>
      <c r="K217" s="13"/>
      <c r="L217" s="13"/>
      <c r="M217" s="13"/>
      <c r="N217" s="98"/>
      <c r="O217" s="98"/>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row>
    <row r="218">
      <c r="A218" s="13"/>
      <c r="B218" s="84"/>
      <c r="C218" s="13"/>
      <c r="D218" s="13"/>
      <c r="E218" s="13"/>
      <c r="F218" s="13"/>
      <c r="G218" s="13"/>
      <c r="H218" s="13"/>
      <c r="I218" s="13"/>
      <c r="J218" s="13"/>
      <c r="K218" s="13"/>
      <c r="L218" s="13"/>
      <c r="M218" s="13"/>
      <c r="N218" s="98"/>
      <c r="O218" s="98"/>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row>
    <row r="219">
      <c r="A219" s="13"/>
      <c r="B219" s="84"/>
      <c r="C219" s="13"/>
      <c r="D219" s="13"/>
      <c r="E219" s="13"/>
      <c r="F219" s="13"/>
      <c r="G219" s="13"/>
      <c r="H219" s="13"/>
      <c r="I219" s="13"/>
      <c r="J219" s="13"/>
      <c r="K219" s="13"/>
      <c r="L219" s="13"/>
      <c r="M219" s="13"/>
      <c r="N219" s="98"/>
      <c r="O219" s="98"/>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row>
    <row r="220">
      <c r="A220" s="13"/>
      <c r="B220" s="84"/>
      <c r="C220" s="13"/>
      <c r="D220" s="13"/>
      <c r="E220" s="13"/>
      <c r="F220" s="13"/>
      <c r="G220" s="13"/>
      <c r="H220" s="13"/>
      <c r="I220" s="13"/>
      <c r="J220" s="13"/>
      <c r="K220" s="13"/>
      <c r="L220" s="13"/>
      <c r="M220" s="13"/>
      <c r="N220" s="98"/>
      <c r="O220" s="98"/>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row>
    <row r="221">
      <c r="A221" s="13"/>
      <c r="B221" s="84"/>
      <c r="C221" s="13"/>
      <c r="D221" s="13"/>
      <c r="E221" s="13"/>
      <c r="F221" s="13"/>
      <c r="G221" s="13"/>
      <c r="H221" s="13"/>
      <c r="I221" s="13"/>
      <c r="J221" s="13"/>
      <c r="K221" s="13"/>
      <c r="L221" s="13"/>
      <c r="M221" s="13"/>
      <c r="N221" s="98"/>
      <c r="O221" s="98"/>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row>
    <row r="222">
      <c r="A222" s="13"/>
      <c r="B222" s="84"/>
      <c r="C222" s="13"/>
      <c r="D222" s="13"/>
      <c r="E222" s="13"/>
      <c r="F222" s="13"/>
      <c r="G222" s="13"/>
      <c r="H222" s="13"/>
      <c r="I222" s="13"/>
      <c r="J222" s="13"/>
      <c r="K222" s="13"/>
      <c r="L222" s="13"/>
      <c r="M222" s="13"/>
      <c r="N222" s="98"/>
      <c r="O222" s="98"/>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row>
    <row r="223">
      <c r="A223" s="13"/>
      <c r="B223" s="84"/>
      <c r="C223" s="13"/>
      <c r="D223" s="13"/>
      <c r="E223" s="13"/>
      <c r="F223" s="13"/>
      <c r="G223" s="13"/>
      <c r="H223" s="13"/>
      <c r="I223" s="13"/>
      <c r="J223" s="13"/>
      <c r="K223" s="13"/>
      <c r="L223" s="13"/>
      <c r="M223" s="13"/>
      <c r="N223" s="98"/>
      <c r="O223" s="98"/>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row>
    <row r="224">
      <c r="A224" s="13"/>
      <c r="B224" s="84"/>
      <c r="C224" s="13"/>
      <c r="D224" s="13"/>
      <c r="E224" s="13"/>
      <c r="F224" s="13"/>
      <c r="G224" s="13"/>
      <c r="H224" s="13"/>
      <c r="I224" s="13"/>
      <c r="J224" s="13"/>
      <c r="K224" s="13"/>
      <c r="L224" s="13"/>
      <c r="M224" s="13"/>
      <c r="N224" s="98"/>
      <c r="O224" s="98"/>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row>
    <row r="225">
      <c r="A225" s="13"/>
      <c r="B225" s="84"/>
      <c r="C225" s="13"/>
      <c r="D225" s="13"/>
      <c r="E225" s="13"/>
      <c r="F225" s="13"/>
      <c r="G225" s="13"/>
      <c r="H225" s="13"/>
      <c r="I225" s="13"/>
      <c r="J225" s="13"/>
      <c r="K225" s="13"/>
      <c r="L225" s="13"/>
      <c r="M225" s="13"/>
      <c r="N225" s="98"/>
      <c r="O225" s="98"/>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row>
    <row r="226">
      <c r="A226" s="13"/>
      <c r="B226" s="84"/>
      <c r="C226" s="13"/>
      <c r="D226" s="13"/>
      <c r="E226" s="13"/>
      <c r="F226" s="13"/>
      <c r="G226" s="13"/>
      <c r="H226" s="13"/>
      <c r="I226" s="13"/>
      <c r="J226" s="13"/>
      <c r="K226" s="13"/>
      <c r="L226" s="13"/>
      <c r="M226" s="13"/>
      <c r="N226" s="98"/>
      <c r="O226" s="98"/>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row>
    <row r="227">
      <c r="A227" s="13"/>
      <c r="B227" s="84"/>
      <c r="C227" s="13"/>
      <c r="D227" s="13"/>
      <c r="E227" s="13"/>
      <c r="F227" s="13"/>
      <c r="G227" s="13"/>
      <c r="H227" s="13"/>
      <c r="I227" s="13"/>
      <c r="J227" s="13"/>
      <c r="K227" s="13"/>
      <c r="L227" s="13"/>
      <c r="M227" s="13"/>
      <c r="N227" s="98"/>
      <c r="O227" s="98"/>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row>
    <row r="228">
      <c r="A228" s="13"/>
      <c r="B228" s="84"/>
      <c r="C228" s="13"/>
      <c r="D228" s="13"/>
      <c r="E228" s="13"/>
      <c r="F228" s="13"/>
      <c r="G228" s="13"/>
      <c r="H228" s="13"/>
      <c r="I228" s="13"/>
      <c r="J228" s="13"/>
      <c r="K228" s="13"/>
      <c r="L228" s="13"/>
      <c r="M228" s="13"/>
      <c r="N228" s="98"/>
      <c r="O228" s="98"/>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row>
    <row r="229">
      <c r="A229" s="13"/>
      <c r="B229" s="84"/>
      <c r="C229" s="13"/>
      <c r="D229" s="13"/>
      <c r="E229" s="13"/>
      <c r="F229" s="13"/>
      <c r="G229" s="13"/>
      <c r="H229" s="13"/>
      <c r="I229" s="13"/>
      <c r="J229" s="13"/>
      <c r="K229" s="13"/>
      <c r="L229" s="13"/>
      <c r="M229" s="13"/>
      <c r="N229" s="98"/>
      <c r="O229" s="98"/>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row>
    <row r="230">
      <c r="A230" s="13"/>
      <c r="B230" s="84"/>
      <c r="C230" s="13"/>
      <c r="D230" s="13"/>
      <c r="E230" s="13"/>
      <c r="F230" s="13"/>
      <c r="G230" s="13"/>
      <c r="H230" s="13"/>
      <c r="I230" s="13"/>
      <c r="J230" s="13"/>
      <c r="K230" s="13"/>
      <c r="L230" s="13"/>
      <c r="M230" s="13"/>
      <c r="N230" s="98"/>
      <c r="O230" s="98"/>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row>
    <row r="231">
      <c r="A231" s="13"/>
      <c r="B231" s="84"/>
      <c r="C231" s="13"/>
      <c r="D231" s="13"/>
      <c r="E231" s="13"/>
      <c r="F231" s="13"/>
      <c r="G231" s="13"/>
      <c r="H231" s="13"/>
      <c r="I231" s="13"/>
      <c r="J231" s="13"/>
      <c r="K231" s="13"/>
      <c r="L231" s="13"/>
      <c r="M231" s="13"/>
      <c r="N231" s="98"/>
      <c r="O231" s="98"/>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row>
    <row r="232">
      <c r="A232" s="13"/>
      <c r="B232" s="84"/>
      <c r="C232" s="13"/>
      <c r="D232" s="13"/>
      <c r="E232" s="13"/>
      <c r="F232" s="13"/>
      <c r="G232" s="13"/>
      <c r="H232" s="13"/>
      <c r="I232" s="13"/>
      <c r="J232" s="13"/>
      <c r="K232" s="13"/>
      <c r="L232" s="13"/>
      <c r="M232" s="13"/>
      <c r="N232" s="98"/>
      <c r="O232" s="98"/>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row>
    <row r="233">
      <c r="A233" s="13"/>
      <c r="B233" s="84"/>
      <c r="C233" s="13"/>
      <c r="D233" s="13"/>
      <c r="E233" s="13"/>
      <c r="F233" s="13"/>
      <c r="G233" s="13"/>
      <c r="H233" s="13"/>
      <c r="I233" s="13"/>
      <c r="J233" s="13"/>
      <c r="K233" s="13"/>
      <c r="L233" s="13"/>
      <c r="M233" s="13"/>
      <c r="N233" s="98"/>
      <c r="O233" s="98"/>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row>
    <row r="234">
      <c r="A234" s="13"/>
      <c r="B234" s="84"/>
      <c r="C234" s="13"/>
      <c r="D234" s="13"/>
      <c r="E234" s="13"/>
      <c r="F234" s="13"/>
      <c r="G234" s="13"/>
      <c r="H234" s="13"/>
      <c r="I234" s="13"/>
      <c r="J234" s="13"/>
      <c r="K234" s="13"/>
      <c r="L234" s="13"/>
      <c r="M234" s="13"/>
      <c r="N234" s="98"/>
      <c r="O234" s="98"/>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row>
    <row r="235">
      <c r="A235" s="13"/>
      <c r="B235" s="84"/>
      <c r="C235" s="13"/>
      <c r="D235" s="13"/>
      <c r="E235" s="13"/>
      <c r="F235" s="13"/>
      <c r="G235" s="13"/>
      <c r="H235" s="13"/>
      <c r="I235" s="13"/>
      <c r="J235" s="13"/>
      <c r="K235" s="13"/>
      <c r="L235" s="13"/>
      <c r="M235" s="13"/>
      <c r="N235" s="98"/>
      <c r="O235" s="98"/>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row>
    <row r="236">
      <c r="A236" s="13"/>
      <c r="B236" s="84"/>
      <c r="C236" s="13"/>
      <c r="D236" s="13"/>
      <c r="E236" s="13"/>
      <c r="F236" s="13"/>
      <c r="G236" s="13"/>
      <c r="H236" s="13"/>
      <c r="I236" s="13"/>
      <c r="J236" s="13"/>
      <c r="K236" s="13"/>
      <c r="L236" s="13"/>
      <c r="M236" s="13"/>
      <c r="N236" s="98"/>
      <c r="O236" s="98"/>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row>
    <row r="237">
      <c r="A237" s="13"/>
      <c r="B237" s="84"/>
      <c r="C237" s="13"/>
      <c r="D237" s="13"/>
      <c r="E237" s="13"/>
      <c r="F237" s="13"/>
      <c r="G237" s="13"/>
      <c r="H237" s="13"/>
      <c r="I237" s="13"/>
      <c r="J237" s="13"/>
      <c r="K237" s="13"/>
      <c r="L237" s="13"/>
      <c r="M237" s="13"/>
      <c r="N237" s="98"/>
      <c r="O237" s="98"/>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row>
    <row r="238">
      <c r="A238" s="13"/>
      <c r="B238" s="84"/>
      <c r="C238" s="13"/>
      <c r="D238" s="13"/>
      <c r="E238" s="13"/>
      <c r="F238" s="13"/>
      <c r="G238" s="13"/>
      <c r="H238" s="13"/>
      <c r="I238" s="13"/>
      <c r="J238" s="13"/>
      <c r="K238" s="13"/>
      <c r="L238" s="13"/>
      <c r="M238" s="13"/>
      <c r="N238" s="98"/>
      <c r="O238" s="98"/>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row>
    <row r="239">
      <c r="A239" s="13"/>
      <c r="B239" s="84"/>
      <c r="C239" s="13"/>
      <c r="D239" s="13"/>
      <c r="E239" s="13"/>
      <c r="F239" s="13"/>
      <c r="G239" s="13"/>
      <c r="H239" s="13"/>
      <c r="I239" s="13"/>
      <c r="J239" s="13"/>
      <c r="K239" s="13"/>
      <c r="L239" s="13"/>
      <c r="M239" s="13"/>
      <c r="N239" s="98"/>
      <c r="O239" s="98"/>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row>
    <row r="240">
      <c r="A240" s="13"/>
      <c r="B240" s="84"/>
      <c r="C240" s="13"/>
      <c r="D240" s="13"/>
      <c r="E240" s="13"/>
      <c r="F240" s="13"/>
      <c r="G240" s="13"/>
      <c r="H240" s="13"/>
      <c r="I240" s="13"/>
      <c r="J240" s="13"/>
      <c r="K240" s="13"/>
      <c r="L240" s="13"/>
      <c r="M240" s="13"/>
      <c r="N240" s="98"/>
      <c r="O240" s="98"/>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row>
    <row r="241">
      <c r="A241" s="13"/>
      <c r="B241" s="84"/>
      <c r="C241" s="13"/>
      <c r="D241" s="13"/>
      <c r="E241" s="13"/>
      <c r="F241" s="13"/>
      <c r="G241" s="13"/>
      <c r="H241" s="13"/>
      <c r="I241" s="13"/>
      <c r="J241" s="13"/>
      <c r="K241" s="13"/>
      <c r="L241" s="13"/>
      <c r="M241" s="13"/>
      <c r="N241" s="98"/>
      <c r="O241" s="98"/>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row>
    <row r="242">
      <c r="A242" s="13"/>
      <c r="B242" s="84"/>
      <c r="C242" s="13"/>
      <c r="D242" s="13"/>
      <c r="E242" s="13"/>
      <c r="F242" s="13"/>
      <c r="G242" s="13"/>
      <c r="H242" s="13"/>
      <c r="I242" s="13"/>
      <c r="J242" s="13"/>
      <c r="K242" s="13"/>
      <c r="L242" s="13"/>
      <c r="M242" s="13"/>
      <c r="N242" s="98"/>
      <c r="O242" s="98"/>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row>
    <row r="243">
      <c r="A243" s="13"/>
      <c r="B243" s="84"/>
      <c r="C243" s="13"/>
      <c r="D243" s="13"/>
      <c r="E243" s="13"/>
      <c r="F243" s="13"/>
      <c r="G243" s="13"/>
      <c r="H243" s="13"/>
      <c r="I243" s="13"/>
      <c r="J243" s="13"/>
      <c r="K243" s="13"/>
      <c r="L243" s="13"/>
      <c r="M243" s="13"/>
      <c r="N243" s="98"/>
      <c r="O243" s="98"/>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row>
    <row r="244">
      <c r="A244" s="13"/>
      <c r="B244" s="84"/>
      <c r="C244" s="13"/>
      <c r="D244" s="13"/>
      <c r="E244" s="13"/>
      <c r="F244" s="13"/>
      <c r="G244" s="13"/>
      <c r="H244" s="13"/>
      <c r="I244" s="13"/>
      <c r="J244" s="13"/>
      <c r="K244" s="13"/>
      <c r="L244" s="13"/>
      <c r="M244" s="13"/>
      <c r="N244" s="98"/>
      <c r="O244" s="98"/>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row>
    <row r="245">
      <c r="A245" s="13"/>
      <c r="B245" s="84"/>
      <c r="C245" s="13"/>
      <c r="D245" s="13"/>
      <c r="E245" s="13"/>
      <c r="F245" s="13"/>
      <c r="G245" s="13"/>
      <c r="H245" s="13"/>
      <c r="I245" s="13"/>
      <c r="J245" s="13"/>
      <c r="K245" s="13"/>
      <c r="L245" s="13"/>
      <c r="M245" s="13"/>
      <c r="N245" s="98"/>
      <c r="O245" s="98"/>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row>
    <row r="246">
      <c r="A246" s="13"/>
      <c r="B246" s="84"/>
      <c r="C246" s="13"/>
      <c r="D246" s="13"/>
      <c r="E246" s="13"/>
      <c r="F246" s="13"/>
      <c r="G246" s="13"/>
      <c r="H246" s="13"/>
      <c r="I246" s="13"/>
      <c r="J246" s="13"/>
      <c r="K246" s="13"/>
      <c r="L246" s="13"/>
      <c r="M246" s="13"/>
      <c r="N246" s="98"/>
      <c r="O246" s="98"/>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row>
    <row r="247">
      <c r="A247" s="13"/>
      <c r="B247" s="84"/>
      <c r="C247" s="13"/>
      <c r="D247" s="13"/>
      <c r="E247" s="13"/>
      <c r="F247" s="13"/>
      <c r="G247" s="13"/>
      <c r="H247" s="13"/>
      <c r="I247" s="13"/>
      <c r="J247" s="13"/>
      <c r="K247" s="13"/>
      <c r="L247" s="13"/>
      <c r="M247" s="13"/>
      <c r="N247" s="98"/>
      <c r="O247" s="98"/>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row>
    <row r="248">
      <c r="A248" s="13"/>
      <c r="B248" s="84"/>
      <c r="C248" s="13"/>
      <c r="D248" s="13"/>
      <c r="E248" s="13"/>
      <c r="F248" s="13"/>
      <c r="G248" s="13"/>
      <c r="H248" s="13"/>
      <c r="I248" s="13"/>
      <c r="J248" s="13"/>
      <c r="K248" s="13"/>
      <c r="L248" s="13"/>
      <c r="M248" s="13"/>
      <c r="N248" s="98"/>
      <c r="O248" s="98"/>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row>
    <row r="249">
      <c r="A249" s="13"/>
      <c r="B249" s="84"/>
      <c r="C249" s="13"/>
      <c r="D249" s="13"/>
      <c r="E249" s="13"/>
      <c r="F249" s="13"/>
      <c r="G249" s="13"/>
      <c r="H249" s="13"/>
      <c r="I249" s="13"/>
      <c r="J249" s="13"/>
      <c r="K249" s="13"/>
      <c r="L249" s="13"/>
      <c r="M249" s="13"/>
      <c r="N249" s="98"/>
      <c r="O249" s="98"/>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row>
    <row r="250">
      <c r="A250" s="13"/>
      <c r="B250" s="84"/>
      <c r="C250" s="13"/>
      <c r="D250" s="13"/>
      <c r="E250" s="13"/>
      <c r="F250" s="13"/>
      <c r="G250" s="13"/>
      <c r="H250" s="13"/>
      <c r="I250" s="13"/>
      <c r="J250" s="13"/>
      <c r="K250" s="13"/>
      <c r="L250" s="13"/>
      <c r="M250" s="13"/>
      <c r="N250" s="98"/>
      <c r="O250" s="98"/>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row>
    <row r="251">
      <c r="A251" s="13"/>
      <c r="B251" s="84"/>
      <c r="C251" s="13"/>
      <c r="D251" s="13"/>
      <c r="E251" s="13"/>
      <c r="F251" s="13"/>
      <c r="G251" s="13"/>
      <c r="H251" s="13"/>
      <c r="I251" s="13"/>
      <c r="J251" s="13"/>
      <c r="K251" s="13"/>
      <c r="L251" s="13"/>
      <c r="M251" s="13"/>
      <c r="N251" s="98"/>
      <c r="O251" s="98"/>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row>
    <row r="252">
      <c r="A252" s="13"/>
      <c r="B252" s="84"/>
      <c r="C252" s="13"/>
      <c r="D252" s="13"/>
      <c r="E252" s="13"/>
      <c r="F252" s="13"/>
      <c r="G252" s="13"/>
      <c r="H252" s="13"/>
      <c r="I252" s="13"/>
      <c r="J252" s="13"/>
      <c r="K252" s="13"/>
      <c r="L252" s="13"/>
      <c r="M252" s="13"/>
      <c r="N252" s="98"/>
      <c r="O252" s="98"/>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row>
    <row r="253">
      <c r="A253" s="13"/>
      <c r="B253" s="84"/>
      <c r="C253" s="13"/>
      <c r="D253" s="13"/>
      <c r="E253" s="13"/>
      <c r="F253" s="13"/>
      <c r="G253" s="13"/>
      <c r="H253" s="13"/>
      <c r="I253" s="13"/>
      <c r="J253" s="13"/>
      <c r="K253" s="13"/>
      <c r="L253" s="13"/>
      <c r="M253" s="13"/>
      <c r="N253" s="98"/>
      <c r="O253" s="98"/>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row>
    <row r="254">
      <c r="A254" s="13"/>
      <c r="B254" s="84"/>
      <c r="C254" s="13"/>
      <c r="D254" s="13"/>
      <c r="E254" s="13"/>
      <c r="F254" s="13"/>
      <c r="G254" s="13"/>
      <c r="H254" s="13"/>
      <c r="I254" s="13"/>
      <c r="J254" s="13"/>
      <c r="K254" s="13"/>
      <c r="L254" s="13"/>
      <c r="M254" s="13"/>
      <c r="N254" s="98"/>
      <c r="O254" s="98"/>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row>
    <row r="255">
      <c r="A255" s="13"/>
      <c r="B255" s="84"/>
      <c r="C255" s="13"/>
      <c r="D255" s="13"/>
      <c r="E255" s="13"/>
      <c r="F255" s="13"/>
      <c r="G255" s="13"/>
      <c r="H255" s="13"/>
      <c r="I255" s="13"/>
      <c r="J255" s="13"/>
      <c r="K255" s="13"/>
      <c r="L255" s="13"/>
      <c r="M255" s="13"/>
      <c r="N255" s="98"/>
      <c r="O255" s="98"/>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row>
    <row r="256">
      <c r="A256" s="13"/>
      <c r="B256" s="84"/>
      <c r="C256" s="13"/>
      <c r="D256" s="13"/>
      <c r="E256" s="13"/>
      <c r="F256" s="13"/>
      <c r="G256" s="13"/>
      <c r="H256" s="13"/>
      <c r="I256" s="13"/>
      <c r="J256" s="13"/>
      <c r="K256" s="13"/>
      <c r="L256" s="13"/>
      <c r="M256" s="13"/>
      <c r="N256" s="98"/>
      <c r="O256" s="98"/>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row>
    <row r="257">
      <c r="A257" s="13"/>
      <c r="B257" s="84"/>
      <c r="C257" s="13"/>
      <c r="D257" s="13"/>
      <c r="E257" s="13"/>
      <c r="F257" s="13"/>
      <c r="G257" s="13"/>
      <c r="H257" s="13"/>
      <c r="I257" s="13"/>
      <c r="J257" s="13"/>
      <c r="K257" s="13"/>
      <c r="L257" s="13"/>
      <c r="M257" s="13"/>
      <c r="N257" s="98"/>
      <c r="O257" s="98"/>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row>
    <row r="258">
      <c r="A258" s="13"/>
      <c r="B258" s="84"/>
      <c r="C258" s="13"/>
      <c r="D258" s="13"/>
      <c r="E258" s="13"/>
      <c r="F258" s="13"/>
      <c r="G258" s="13"/>
      <c r="H258" s="13"/>
      <c r="I258" s="13"/>
      <c r="J258" s="13"/>
      <c r="K258" s="13"/>
      <c r="L258" s="13"/>
      <c r="M258" s="13"/>
      <c r="N258" s="98"/>
      <c r="O258" s="98"/>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row>
    <row r="259">
      <c r="A259" s="13"/>
      <c r="B259" s="84"/>
      <c r="C259" s="13"/>
      <c r="D259" s="13"/>
      <c r="E259" s="13"/>
      <c r="F259" s="13"/>
      <c r="G259" s="13"/>
      <c r="H259" s="13"/>
      <c r="I259" s="13"/>
      <c r="J259" s="13"/>
      <c r="K259" s="13"/>
      <c r="L259" s="13"/>
      <c r="M259" s="13"/>
      <c r="N259" s="98"/>
      <c r="O259" s="98"/>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row>
    <row r="260">
      <c r="A260" s="13"/>
      <c r="B260" s="84"/>
      <c r="C260" s="13"/>
      <c r="D260" s="13"/>
      <c r="E260" s="13"/>
      <c r="F260" s="13"/>
      <c r="G260" s="13"/>
      <c r="H260" s="13"/>
      <c r="I260" s="13"/>
      <c r="J260" s="13"/>
      <c r="K260" s="13"/>
      <c r="L260" s="13"/>
      <c r="M260" s="13"/>
      <c r="N260" s="98"/>
      <c r="O260" s="98"/>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row>
    <row r="261">
      <c r="A261" s="13"/>
      <c r="B261" s="84"/>
      <c r="C261" s="13"/>
      <c r="D261" s="13"/>
      <c r="E261" s="13"/>
      <c r="F261" s="13"/>
      <c r="G261" s="13"/>
      <c r="H261" s="13"/>
      <c r="I261" s="13"/>
      <c r="J261" s="13"/>
      <c r="K261" s="13"/>
      <c r="L261" s="13"/>
      <c r="M261" s="13"/>
      <c r="N261" s="98"/>
      <c r="O261" s="98"/>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row>
    <row r="262">
      <c r="A262" s="13"/>
      <c r="B262" s="84"/>
      <c r="C262" s="13"/>
      <c r="D262" s="13"/>
      <c r="E262" s="13"/>
      <c r="F262" s="13"/>
      <c r="G262" s="13"/>
      <c r="H262" s="13"/>
      <c r="I262" s="13"/>
      <c r="J262" s="13"/>
      <c r="K262" s="13"/>
      <c r="L262" s="13"/>
      <c r="M262" s="13"/>
      <c r="N262" s="98"/>
      <c r="O262" s="98"/>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row>
    <row r="263">
      <c r="A263" s="13"/>
      <c r="B263" s="84"/>
      <c r="C263" s="13"/>
      <c r="D263" s="13"/>
      <c r="E263" s="13"/>
      <c r="F263" s="13"/>
      <c r="G263" s="13"/>
      <c r="H263" s="13"/>
      <c r="I263" s="13"/>
      <c r="J263" s="13"/>
      <c r="K263" s="13"/>
      <c r="L263" s="13"/>
      <c r="M263" s="13"/>
      <c r="N263" s="98"/>
      <c r="O263" s="98"/>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row>
    <row r="264">
      <c r="A264" s="13"/>
      <c r="B264" s="84"/>
      <c r="C264" s="13"/>
      <c r="D264" s="13"/>
      <c r="E264" s="13"/>
      <c r="F264" s="13"/>
      <c r="G264" s="13"/>
      <c r="H264" s="13"/>
      <c r="I264" s="13"/>
      <c r="J264" s="13"/>
      <c r="K264" s="13"/>
      <c r="L264" s="13"/>
      <c r="M264" s="13"/>
      <c r="N264" s="98"/>
      <c r="O264" s="98"/>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row>
    <row r="265">
      <c r="A265" s="13"/>
      <c r="B265" s="84"/>
      <c r="C265" s="13"/>
      <c r="D265" s="13"/>
      <c r="E265" s="13"/>
      <c r="F265" s="13"/>
      <c r="G265" s="13"/>
      <c r="H265" s="13"/>
      <c r="I265" s="13"/>
      <c r="J265" s="13"/>
      <c r="K265" s="13"/>
      <c r="L265" s="13"/>
      <c r="M265" s="13"/>
      <c r="N265" s="98"/>
      <c r="O265" s="98"/>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row>
    <row r="266">
      <c r="A266" s="13"/>
      <c r="B266" s="84"/>
      <c r="C266" s="13"/>
      <c r="D266" s="13"/>
      <c r="E266" s="13"/>
      <c r="F266" s="13"/>
      <c r="G266" s="13"/>
      <c r="H266" s="13"/>
      <c r="I266" s="13"/>
      <c r="J266" s="13"/>
      <c r="K266" s="13"/>
      <c r="L266" s="13"/>
      <c r="M266" s="13"/>
      <c r="N266" s="98"/>
      <c r="O266" s="98"/>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row>
    <row r="267">
      <c r="A267" s="13"/>
      <c r="B267" s="84"/>
      <c r="C267" s="13"/>
      <c r="D267" s="13"/>
      <c r="E267" s="13"/>
      <c r="F267" s="13"/>
      <c r="G267" s="13"/>
      <c r="H267" s="13"/>
      <c r="I267" s="13"/>
      <c r="J267" s="13"/>
      <c r="K267" s="13"/>
      <c r="L267" s="13"/>
      <c r="M267" s="13"/>
      <c r="N267" s="98"/>
      <c r="O267" s="98"/>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row>
    <row r="268">
      <c r="A268" s="13"/>
      <c r="B268" s="84"/>
      <c r="C268" s="13"/>
      <c r="D268" s="13"/>
      <c r="E268" s="13"/>
      <c r="F268" s="13"/>
      <c r="G268" s="13"/>
      <c r="H268" s="13"/>
      <c r="I268" s="13"/>
      <c r="J268" s="13"/>
      <c r="K268" s="13"/>
      <c r="L268" s="13"/>
      <c r="M268" s="13"/>
      <c r="N268" s="98"/>
      <c r="O268" s="98"/>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row>
    <row r="269">
      <c r="A269" s="13"/>
      <c r="B269" s="84"/>
      <c r="C269" s="13"/>
      <c r="D269" s="13"/>
      <c r="E269" s="13"/>
      <c r="F269" s="13"/>
      <c r="G269" s="13"/>
      <c r="H269" s="13"/>
      <c r="I269" s="13"/>
      <c r="J269" s="13"/>
      <c r="K269" s="13"/>
      <c r="L269" s="13"/>
      <c r="M269" s="13"/>
      <c r="N269" s="98"/>
      <c r="O269" s="98"/>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row>
    <row r="270">
      <c r="A270" s="13"/>
      <c r="B270" s="84"/>
      <c r="C270" s="13"/>
      <c r="D270" s="13"/>
      <c r="E270" s="13"/>
      <c r="F270" s="13"/>
      <c r="G270" s="13"/>
      <c r="H270" s="13"/>
      <c r="I270" s="13"/>
      <c r="J270" s="13"/>
      <c r="K270" s="13"/>
      <c r="L270" s="13"/>
      <c r="M270" s="13"/>
      <c r="N270" s="98"/>
      <c r="O270" s="98"/>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row>
    <row r="271">
      <c r="A271" s="13"/>
      <c r="B271" s="84"/>
      <c r="C271" s="13"/>
      <c r="D271" s="13"/>
      <c r="E271" s="13"/>
      <c r="F271" s="13"/>
      <c r="G271" s="13"/>
      <c r="H271" s="13"/>
      <c r="I271" s="13"/>
      <c r="J271" s="13"/>
      <c r="K271" s="13"/>
      <c r="L271" s="13"/>
      <c r="M271" s="13"/>
      <c r="N271" s="98"/>
      <c r="O271" s="98"/>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row>
    <row r="272">
      <c r="A272" s="13"/>
      <c r="B272" s="84"/>
      <c r="C272" s="13"/>
      <c r="D272" s="13"/>
      <c r="E272" s="13"/>
      <c r="F272" s="13"/>
      <c r="G272" s="13"/>
      <c r="H272" s="13"/>
      <c r="I272" s="13"/>
      <c r="J272" s="13"/>
      <c r="K272" s="13"/>
      <c r="L272" s="13"/>
      <c r="M272" s="13"/>
      <c r="N272" s="98"/>
      <c r="O272" s="98"/>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row>
    <row r="273">
      <c r="A273" s="13"/>
      <c r="B273" s="84"/>
      <c r="C273" s="13"/>
      <c r="D273" s="13"/>
      <c r="E273" s="13"/>
      <c r="F273" s="13"/>
      <c r="G273" s="13"/>
      <c r="H273" s="13"/>
      <c r="I273" s="13"/>
      <c r="J273" s="13"/>
      <c r="K273" s="13"/>
      <c r="L273" s="13"/>
      <c r="M273" s="13"/>
      <c r="N273" s="98"/>
      <c r="O273" s="98"/>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row>
    <row r="274">
      <c r="A274" s="13"/>
      <c r="B274" s="84"/>
      <c r="C274" s="13"/>
      <c r="D274" s="13"/>
      <c r="E274" s="13"/>
      <c r="F274" s="13"/>
      <c r="G274" s="13"/>
      <c r="H274" s="13"/>
      <c r="I274" s="13"/>
      <c r="J274" s="13"/>
      <c r="K274" s="13"/>
      <c r="L274" s="13"/>
      <c r="M274" s="13"/>
      <c r="N274" s="98"/>
      <c r="O274" s="98"/>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row>
    <row r="275">
      <c r="A275" s="13"/>
      <c r="B275" s="84"/>
      <c r="C275" s="13"/>
      <c r="D275" s="13"/>
      <c r="E275" s="13"/>
      <c r="F275" s="13"/>
      <c r="G275" s="13"/>
      <c r="H275" s="13"/>
      <c r="I275" s="13"/>
      <c r="J275" s="13"/>
      <c r="K275" s="13"/>
      <c r="L275" s="13"/>
      <c r="M275" s="13"/>
      <c r="N275" s="98"/>
      <c r="O275" s="98"/>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row>
    <row r="276">
      <c r="A276" s="13"/>
      <c r="B276" s="84"/>
      <c r="C276" s="13"/>
      <c r="D276" s="13"/>
      <c r="E276" s="13"/>
      <c r="F276" s="13"/>
      <c r="G276" s="13"/>
      <c r="H276" s="13"/>
      <c r="I276" s="13"/>
      <c r="J276" s="13"/>
      <c r="K276" s="13"/>
      <c r="L276" s="13"/>
      <c r="M276" s="13"/>
      <c r="N276" s="98"/>
      <c r="O276" s="98"/>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row>
    <row r="277">
      <c r="A277" s="13"/>
      <c r="B277" s="84"/>
      <c r="C277" s="13"/>
      <c r="D277" s="13"/>
      <c r="E277" s="13"/>
      <c r="F277" s="13"/>
      <c r="G277" s="13"/>
      <c r="H277" s="13"/>
      <c r="I277" s="13"/>
      <c r="J277" s="13"/>
      <c r="K277" s="13"/>
      <c r="L277" s="13"/>
      <c r="M277" s="13"/>
      <c r="N277" s="98"/>
      <c r="O277" s="98"/>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row>
    <row r="278">
      <c r="A278" s="13"/>
      <c r="B278" s="84"/>
      <c r="C278" s="13"/>
      <c r="D278" s="13"/>
      <c r="E278" s="13"/>
      <c r="F278" s="13"/>
      <c r="G278" s="13"/>
      <c r="H278" s="13"/>
      <c r="I278" s="13"/>
      <c r="J278" s="13"/>
      <c r="K278" s="13"/>
      <c r="L278" s="13"/>
      <c r="M278" s="13"/>
      <c r="N278" s="98"/>
      <c r="O278" s="98"/>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row>
    <row r="279">
      <c r="A279" s="13"/>
      <c r="B279" s="84"/>
      <c r="C279" s="13"/>
      <c r="D279" s="13"/>
      <c r="E279" s="13"/>
      <c r="F279" s="13"/>
      <c r="G279" s="13"/>
      <c r="H279" s="13"/>
      <c r="I279" s="13"/>
      <c r="J279" s="13"/>
      <c r="K279" s="13"/>
      <c r="L279" s="13"/>
      <c r="M279" s="13"/>
      <c r="N279" s="98"/>
      <c r="O279" s="98"/>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row>
    <row r="280">
      <c r="A280" s="13"/>
      <c r="B280" s="84"/>
      <c r="C280" s="13"/>
      <c r="D280" s="13"/>
      <c r="E280" s="13"/>
      <c r="F280" s="13"/>
      <c r="G280" s="13"/>
      <c r="H280" s="13"/>
      <c r="I280" s="13"/>
      <c r="J280" s="13"/>
      <c r="K280" s="13"/>
      <c r="L280" s="13"/>
      <c r="M280" s="13"/>
      <c r="N280" s="98"/>
      <c r="O280" s="98"/>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row>
    <row r="281">
      <c r="A281" s="13"/>
      <c r="B281" s="84"/>
      <c r="C281" s="13"/>
      <c r="D281" s="13"/>
      <c r="E281" s="13"/>
      <c r="F281" s="13"/>
      <c r="G281" s="13"/>
      <c r="H281" s="13"/>
      <c r="I281" s="13"/>
      <c r="J281" s="13"/>
      <c r="K281" s="13"/>
      <c r="L281" s="13"/>
      <c r="M281" s="13"/>
      <c r="N281" s="98"/>
      <c r="O281" s="98"/>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row>
    <row r="282">
      <c r="A282" s="13"/>
      <c r="B282" s="84"/>
      <c r="C282" s="13"/>
      <c r="D282" s="13"/>
      <c r="E282" s="13"/>
      <c r="F282" s="13"/>
      <c r="G282" s="13"/>
      <c r="H282" s="13"/>
      <c r="I282" s="13"/>
      <c r="J282" s="13"/>
      <c r="K282" s="13"/>
      <c r="L282" s="13"/>
      <c r="M282" s="13"/>
      <c r="N282" s="98"/>
      <c r="O282" s="98"/>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row>
    <row r="283">
      <c r="A283" s="13"/>
      <c r="B283" s="84"/>
      <c r="C283" s="13"/>
      <c r="D283" s="13"/>
      <c r="E283" s="13"/>
      <c r="F283" s="13"/>
      <c r="G283" s="13"/>
      <c r="H283" s="13"/>
      <c r="I283" s="13"/>
      <c r="J283" s="13"/>
      <c r="K283" s="13"/>
      <c r="L283" s="13"/>
      <c r="M283" s="13"/>
      <c r="N283" s="98"/>
      <c r="O283" s="98"/>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row>
    <row r="284">
      <c r="A284" s="13"/>
      <c r="B284" s="84"/>
      <c r="C284" s="13"/>
      <c r="D284" s="13"/>
      <c r="E284" s="13"/>
      <c r="F284" s="13"/>
      <c r="G284" s="13"/>
      <c r="H284" s="13"/>
      <c r="I284" s="13"/>
      <c r="J284" s="13"/>
      <c r="K284" s="13"/>
      <c r="L284" s="13"/>
      <c r="M284" s="13"/>
      <c r="N284" s="98"/>
      <c r="O284" s="98"/>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row>
    <row r="285">
      <c r="A285" s="13"/>
      <c r="B285" s="84"/>
      <c r="C285" s="13"/>
      <c r="D285" s="13"/>
      <c r="E285" s="13"/>
      <c r="F285" s="13"/>
      <c r="G285" s="13"/>
      <c r="H285" s="13"/>
      <c r="I285" s="13"/>
      <c r="J285" s="13"/>
      <c r="K285" s="13"/>
      <c r="L285" s="13"/>
      <c r="M285" s="13"/>
      <c r="N285" s="98"/>
      <c r="O285" s="98"/>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row>
    <row r="286">
      <c r="A286" s="13"/>
      <c r="B286" s="84"/>
      <c r="C286" s="13"/>
      <c r="D286" s="13"/>
      <c r="E286" s="13"/>
      <c r="F286" s="13"/>
      <c r="G286" s="13"/>
      <c r="H286" s="13"/>
      <c r="I286" s="13"/>
      <c r="J286" s="13"/>
      <c r="K286" s="13"/>
      <c r="L286" s="13"/>
      <c r="M286" s="13"/>
      <c r="N286" s="98"/>
      <c r="O286" s="98"/>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row>
    <row r="287">
      <c r="A287" s="13"/>
      <c r="B287" s="84"/>
      <c r="C287" s="13"/>
      <c r="D287" s="13"/>
      <c r="E287" s="13"/>
      <c r="F287" s="13"/>
      <c r="G287" s="13"/>
      <c r="H287" s="13"/>
      <c r="I287" s="13"/>
      <c r="J287" s="13"/>
      <c r="K287" s="13"/>
      <c r="L287" s="13"/>
      <c r="M287" s="13"/>
      <c r="N287" s="98"/>
      <c r="O287" s="98"/>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row>
    <row r="288">
      <c r="A288" s="13"/>
      <c r="B288" s="84"/>
      <c r="C288" s="13"/>
      <c r="D288" s="13"/>
      <c r="E288" s="13"/>
      <c r="F288" s="13"/>
      <c r="G288" s="13"/>
      <c r="H288" s="13"/>
      <c r="I288" s="13"/>
      <c r="J288" s="13"/>
      <c r="K288" s="13"/>
      <c r="L288" s="13"/>
      <c r="M288" s="13"/>
      <c r="N288" s="98"/>
      <c r="O288" s="98"/>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row>
    <row r="289">
      <c r="A289" s="13"/>
      <c r="B289" s="84"/>
      <c r="C289" s="13"/>
      <c r="D289" s="13"/>
      <c r="E289" s="13"/>
      <c r="F289" s="13"/>
      <c r="G289" s="13"/>
      <c r="H289" s="13"/>
      <c r="I289" s="13"/>
      <c r="J289" s="13"/>
      <c r="K289" s="13"/>
      <c r="L289" s="13"/>
      <c r="M289" s="13"/>
      <c r="N289" s="98"/>
      <c r="O289" s="98"/>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row>
    <row r="290">
      <c r="A290" s="13"/>
      <c r="B290" s="84"/>
      <c r="C290" s="13"/>
      <c r="D290" s="13"/>
      <c r="E290" s="13"/>
      <c r="F290" s="13"/>
      <c r="G290" s="13"/>
      <c r="H290" s="13"/>
      <c r="I290" s="13"/>
      <c r="J290" s="13"/>
      <c r="K290" s="13"/>
      <c r="L290" s="13"/>
      <c r="M290" s="13"/>
      <c r="N290" s="98"/>
      <c r="O290" s="98"/>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row>
    <row r="291">
      <c r="A291" s="13"/>
      <c r="B291" s="84"/>
      <c r="C291" s="13"/>
      <c r="D291" s="13"/>
      <c r="E291" s="13"/>
      <c r="F291" s="13"/>
      <c r="G291" s="13"/>
      <c r="H291" s="13"/>
      <c r="I291" s="13"/>
      <c r="J291" s="13"/>
      <c r="K291" s="13"/>
      <c r="L291" s="13"/>
      <c r="M291" s="13"/>
      <c r="N291" s="98"/>
      <c r="O291" s="98"/>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row>
    <row r="292">
      <c r="A292" s="13"/>
      <c r="B292" s="84"/>
      <c r="C292" s="13"/>
      <c r="D292" s="13"/>
      <c r="E292" s="13"/>
      <c r="F292" s="13"/>
      <c r="G292" s="13"/>
      <c r="H292" s="13"/>
      <c r="I292" s="13"/>
      <c r="J292" s="13"/>
      <c r="K292" s="13"/>
      <c r="L292" s="13"/>
      <c r="M292" s="13"/>
      <c r="N292" s="98"/>
      <c r="O292" s="98"/>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row>
    <row r="293">
      <c r="A293" s="13"/>
      <c r="B293" s="84"/>
      <c r="C293" s="13"/>
      <c r="D293" s="13"/>
      <c r="E293" s="13"/>
      <c r="F293" s="13"/>
      <c r="G293" s="13"/>
      <c r="H293" s="13"/>
      <c r="I293" s="13"/>
      <c r="J293" s="13"/>
      <c r="K293" s="13"/>
      <c r="L293" s="13"/>
      <c r="M293" s="13"/>
      <c r="N293" s="98"/>
      <c r="O293" s="98"/>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row>
    <row r="294">
      <c r="A294" s="13"/>
      <c r="B294" s="84"/>
      <c r="C294" s="13"/>
      <c r="D294" s="13"/>
      <c r="E294" s="13"/>
      <c r="F294" s="13"/>
      <c r="G294" s="13"/>
      <c r="H294" s="13"/>
      <c r="I294" s="13"/>
      <c r="J294" s="13"/>
      <c r="K294" s="13"/>
      <c r="L294" s="13"/>
      <c r="M294" s="13"/>
      <c r="N294" s="98"/>
      <c r="O294" s="98"/>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row>
    <row r="295">
      <c r="A295" s="13"/>
      <c r="B295" s="84"/>
      <c r="C295" s="13"/>
      <c r="D295" s="13"/>
      <c r="E295" s="13"/>
      <c r="F295" s="13"/>
      <c r="G295" s="13"/>
      <c r="H295" s="13"/>
      <c r="I295" s="13"/>
      <c r="J295" s="13"/>
      <c r="K295" s="13"/>
      <c r="L295" s="13"/>
      <c r="M295" s="13"/>
      <c r="N295" s="98"/>
      <c r="O295" s="98"/>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row>
    <row r="296">
      <c r="A296" s="13"/>
      <c r="B296" s="84"/>
      <c r="C296" s="13"/>
      <c r="D296" s="13"/>
      <c r="E296" s="13"/>
      <c r="F296" s="13"/>
      <c r="G296" s="13"/>
      <c r="H296" s="13"/>
      <c r="I296" s="13"/>
      <c r="J296" s="13"/>
      <c r="K296" s="13"/>
      <c r="L296" s="13"/>
      <c r="M296" s="13"/>
      <c r="N296" s="98"/>
      <c r="O296" s="98"/>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row>
    <row r="297">
      <c r="A297" s="13"/>
      <c r="B297" s="84"/>
      <c r="C297" s="13"/>
      <c r="D297" s="13"/>
      <c r="E297" s="13"/>
      <c r="F297" s="13"/>
      <c r="G297" s="13"/>
      <c r="H297" s="13"/>
      <c r="I297" s="13"/>
      <c r="J297" s="13"/>
      <c r="K297" s="13"/>
      <c r="L297" s="13"/>
      <c r="M297" s="13"/>
      <c r="N297" s="98"/>
      <c r="O297" s="98"/>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row>
    <row r="298">
      <c r="A298" s="13"/>
      <c r="B298" s="84"/>
      <c r="C298" s="13"/>
      <c r="D298" s="13"/>
      <c r="E298" s="13"/>
      <c r="F298" s="13"/>
      <c r="G298" s="13"/>
      <c r="H298" s="13"/>
      <c r="I298" s="13"/>
      <c r="J298" s="13"/>
      <c r="K298" s="13"/>
      <c r="L298" s="13"/>
      <c r="M298" s="13"/>
      <c r="N298" s="98"/>
      <c r="O298" s="98"/>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row>
    <row r="299">
      <c r="A299" s="13"/>
      <c r="B299" s="84"/>
      <c r="C299" s="13"/>
      <c r="D299" s="13"/>
      <c r="E299" s="13"/>
      <c r="F299" s="13"/>
      <c r="G299" s="13"/>
      <c r="H299" s="13"/>
      <c r="I299" s="13"/>
      <c r="J299" s="13"/>
      <c r="K299" s="13"/>
      <c r="L299" s="13"/>
      <c r="M299" s="13"/>
      <c r="N299" s="98"/>
      <c r="O299" s="98"/>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row>
    <row r="300">
      <c r="A300" s="13"/>
      <c r="B300" s="84"/>
      <c r="C300" s="13"/>
      <c r="D300" s="13"/>
      <c r="E300" s="13"/>
      <c r="F300" s="13"/>
      <c r="G300" s="13"/>
      <c r="H300" s="13"/>
      <c r="I300" s="13"/>
      <c r="J300" s="13"/>
      <c r="K300" s="13"/>
      <c r="L300" s="13"/>
      <c r="M300" s="13"/>
      <c r="N300" s="98"/>
      <c r="O300" s="98"/>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row>
    <row r="301">
      <c r="A301" s="13"/>
      <c r="B301" s="84"/>
      <c r="C301" s="13"/>
      <c r="D301" s="13"/>
      <c r="E301" s="13"/>
      <c r="F301" s="13"/>
      <c r="G301" s="13"/>
      <c r="H301" s="13"/>
      <c r="I301" s="13"/>
      <c r="J301" s="13"/>
      <c r="K301" s="13"/>
      <c r="L301" s="13"/>
      <c r="M301" s="13"/>
      <c r="N301" s="98"/>
      <c r="O301" s="98"/>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row>
    <row r="302">
      <c r="A302" s="13"/>
      <c r="B302" s="84"/>
      <c r="C302" s="13"/>
      <c r="D302" s="13"/>
      <c r="E302" s="13"/>
      <c r="F302" s="13"/>
      <c r="G302" s="13"/>
      <c r="H302" s="13"/>
      <c r="I302" s="13"/>
      <c r="J302" s="13"/>
      <c r="K302" s="13"/>
      <c r="L302" s="13"/>
      <c r="M302" s="13"/>
      <c r="N302" s="98"/>
      <c r="O302" s="98"/>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row>
    <row r="303">
      <c r="A303" s="13"/>
      <c r="B303" s="84"/>
      <c r="C303" s="13"/>
      <c r="D303" s="13"/>
      <c r="E303" s="13"/>
      <c r="F303" s="13"/>
      <c r="G303" s="13"/>
      <c r="H303" s="13"/>
      <c r="I303" s="13"/>
      <c r="J303" s="13"/>
      <c r="K303" s="13"/>
      <c r="L303" s="13"/>
      <c r="M303" s="13"/>
      <c r="N303" s="98"/>
      <c r="O303" s="98"/>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row>
    <row r="304">
      <c r="A304" s="13"/>
      <c r="B304" s="84"/>
      <c r="C304" s="13"/>
      <c r="D304" s="13"/>
      <c r="E304" s="13"/>
      <c r="F304" s="13"/>
      <c r="G304" s="13"/>
      <c r="H304" s="13"/>
      <c r="I304" s="13"/>
      <c r="J304" s="13"/>
      <c r="K304" s="13"/>
      <c r="L304" s="13"/>
      <c r="M304" s="13"/>
      <c r="N304" s="98"/>
      <c r="O304" s="98"/>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row>
    <row r="305">
      <c r="A305" s="13"/>
      <c r="B305" s="84"/>
      <c r="C305" s="13"/>
      <c r="D305" s="13"/>
      <c r="E305" s="13"/>
      <c r="F305" s="13"/>
      <c r="G305" s="13"/>
      <c r="H305" s="13"/>
      <c r="I305" s="13"/>
      <c r="J305" s="13"/>
      <c r="K305" s="13"/>
      <c r="L305" s="13"/>
      <c r="M305" s="13"/>
      <c r="N305" s="98"/>
      <c r="O305" s="98"/>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row>
    <row r="306">
      <c r="A306" s="13"/>
      <c r="B306" s="84"/>
      <c r="C306" s="13"/>
      <c r="D306" s="13"/>
      <c r="E306" s="13"/>
      <c r="F306" s="13"/>
      <c r="G306" s="13"/>
      <c r="H306" s="13"/>
      <c r="I306" s="13"/>
      <c r="J306" s="13"/>
      <c r="K306" s="13"/>
      <c r="L306" s="13"/>
      <c r="M306" s="13"/>
      <c r="N306" s="98"/>
      <c r="O306" s="98"/>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row>
    <row r="307">
      <c r="A307" s="13"/>
      <c r="B307" s="84"/>
      <c r="C307" s="13"/>
      <c r="D307" s="13"/>
      <c r="E307" s="13"/>
      <c r="F307" s="13"/>
      <c r="G307" s="13"/>
      <c r="H307" s="13"/>
      <c r="I307" s="13"/>
      <c r="J307" s="13"/>
      <c r="K307" s="13"/>
      <c r="L307" s="13"/>
      <c r="M307" s="13"/>
      <c r="N307" s="98"/>
      <c r="O307" s="98"/>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row>
    <row r="308">
      <c r="A308" s="13"/>
      <c r="B308" s="84"/>
      <c r="C308" s="13"/>
      <c r="D308" s="13"/>
      <c r="E308" s="13"/>
      <c r="F308" s="13"/>
      <c r="G308" s="13"/>
      <c r="H308" s="13"/>
      <c r="I308" s="13"/>
      <c r="J308" s="13"/>
      <c r="K308" s="13"/>
      <c r="L308" s="13"/>
      <c r="M308" s="13"/>
      <c r="N308" s="98"/>
      <c r="O308" s="98"/>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row>
    <row r="309">
      <c r="A309" s="13"/>
      <c r="B309" s="84"/>
      <c r="C309" s="13"/>
      <c r="D309" s="13"/>
      <c r="E309" s="13"/>
      <c r="F309" s="13"/>
      <c r="G309" s="13"/>
      <c r="H309" s="13"/>
      <c r="I309" s="13"/>
      <c r="J309" s="13"/>
      <c r="K309" s="13"/>
      <c r="L309" s="13"/>
      <c r="M309" s="13"/>
      <c r="N309" s="98"/>
      <c r="O309" s="98"/>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row>
    <row r="310">
      <c r="A310" s="13"/>
      <c r="B310" s="84"/>
      <c r="C310" s="13"/>
      <c r="D310" s="13"/>
      <c r="E310" s="13"/>
      <c r="F310" s="13"/>
      <c r="G310" s="13"/>
      <c r="H310" s="13"/>
      <c r="I310" s="13"/>
      <c r="J310" s="13"/>
      <c r="K310" s="13"/>
      <c r="L310" s="13"/>
      <c r="M310" s="13"/>
      <c r="N310" s="98"/>
      <c r="O310" s="98"/>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row>
    <row r="311">
      <c r="A311" s="13"/>
      <c r="B311" s="84"/>
      <c r="C311" s="13"/>
      <c r="D311" s="13"/>
      <c r="E311" s="13"/>
      <c r="F311" s="13"/>
      <c r="G311" s="13"/>
      <c r="H311" s="13"/>
      <c r="I311" s="13"/>
      <c r="J311" s="13"/>
      <c r="K311" s="13"/>
      <c r="L311" s="13"/>
      <c r="M311" s="13"/>
      <c r="N311" s="98"/>
      <c r="O311" s="98"/>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row>
    <row r="312">
      <c r="A312" s="13"/>
      <c r="B312" s="84"/>
      <c r="C312" s="13"/>
      <c r="D312" s="13"/>
      <c r="E312" s="13"/>
      <c r="F312" s="13"/>
      <c r="G312" s="13"/>
      <c r="H312" s="13"/>
      <c r="I312" s="13"/>
      <c r="J312" s="13"/>
      <c r="K312" s="13"/>
      <c r="L312" s="13"/>
      <c r="M312" s="13"/>
      <c r="N312" s="98"/>
      <c r="O312" s="98"/>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row>
    <row r="313">
      <c r="A313" s="13"/>
      <c r="B313" s="84"/>
      <c r="C313" s="13"/>
      <c r="D313" s="13"/>
      <c r="E313" s="13"/>
      <c r="F313" s="13"/>
      <c r="G313" s="13"/>
      <c r="H313" s="13"/>
      <c r="I313" s="13"/>
      <c r="J313" s="13"/>
      <c r="K313" s="13"/>
      <c r="L313" s="13"/>
      <c r="M313" s="13"/>
      <c r="N313" s="98"/>
      <c r="O313" s="98"/>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row>
    <row r="314">
      <c r="A314" s="13"/>
      <c r="B314" s="84"/>
      <c r="C314" s="13"/>
      <c r="D314" s="13"/>
      <c r="E314" s="13"/>
      <c r="F314" s="13"/>
      <c r="G314" s="13"/>
      <c r="H314" s="13"/>
      <c r="I314" s="13"/>
      <c r="J314" s="13"/>
      <c r="K314" s="13"/>
      <c r="L314" s="13"/>
      <c r="M314" s="13"/>
      <c r="N314" s="98"/>
      <c r="O314" s="98"/>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row>
    <row r="315">
      <c r="A315" s="13"/>
      <c r="B315" s="84"/>
      <c r="C315" s="13"/>
      <c r="D315" s="13"/>
      <c r="E315" s="13"/>
      <c r="F315" s="13"/>
      <c r="G315" s="13"/>
      <c r="H315" s="13"/>
      <c r="I315" s="13"/>
      <c r="J315" s="13"/>
      <c r="K315" s="13"/>
      <c r="L315" s="13"/>
      <c r="M315" s="13"/>
      <c r="N315" s="98"/>
      <c r="O315" s="98"/>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row>
    <row r="316">
      <c r="A316" s="13"/>
      <c r="B316" s="84"/>
      <c r="C316" s="13"/>
      <c r="D316" s="13"/>
      <c r="E316" s="13"/>
      <c r="F316" s="13"/>
      <c r="G316" s="13"/>
      <c r="H316" s="13"/>
      <c r="I316" s="13"/>
      <c r="J316" s="13"/>
      <c r="K316" s="13"/>
      <c r="L316" s="13"/>
      <c r="M316" s="13"/>
      <c r="N316" s="98"/>
      <c r="O316" s="98"/>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row>
    <row r="317">
      <c r="A317" s="13"/>
      <c r="B317" s="84"/>
      <c r="C317" s="13"/>
      <c r="D317" s="13"/>
      <c r="E317" s="13"/>
      <c r="F317" s="13"/>
      <c r="G317" s="13"/>
      <c r="H317" s="13"/>
      <c r="I317" s="13"/>
      <c r="J317" s="13"/>
      <c r="K317" s="13"/>
      <c r="L317" s="13"/>
      <c r="M317" s="13"/>
      <c r="N317" s="98"/>
      <c r="O317" s="98"/>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row>
    <row r="318">
      <c r="A318" s="13"/>
      <c r="B318" s="84"/>
      <c r="C318" s="13"/>
      <c r="D318" s="13"/>
      <c r="E318" s="13"/>
      <c r="F318" s="13"/>
      <c r="G318" s="13"/>
      <c r="H318" s="13"/>
      <c r="I318" s="13"/>
      <c r="J318" s="13"/>
      <c r="K318" s="13"/>
      <c r="L318" s="13"/>
      <c r="M318" s="13"/>
      <c r="N318" s="98"/>
      <c r="O318" s="98"/>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row>
    <row r="319">
      <c r="A319" s="13"/>
      <c r="B319" s="84"/>
      <c r="C319" s="13"/>
      <c r="D319" s="13"/>
      <c r="E319" s="13"/>
      <c r="F319" s="13"/>
      <c r="G319" s="13"/>
      <c r="H319" s="13"/>
      <c r="I319" s="13"/>
      <c r="J319" s="13"/>
      <c r="K319" s="13"/>
      <c r="L319" s="13"/>
      <c r="M319" s="13"/>
      <c r="N319" s="98"/>
      <c r="O319" s="98"/>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row>
    <row r="320">
      <c r="A320" s="13"/>
      <c r="B320" s="84"/>
      <c r="C320" s="13"/>
      <c r="D320" s="13"/>
      <c r="E320" s="13"/>
      <c r="F320" s="13"/>
      <c r="G320" s="13"/>
      <c r="H320" s="13"/>
      <c r="I320" s="13"/>
      <c r="J320" s="13"/>
      <c r="K320" s="13"/>
      <c r="L320" s="13"/>
      <c r="M320" s="13"/>
      <c r="N320" s="98"/>
      <c r="O320" s="98"/>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row>
    <row r="321">
      <c r="A321" s="13"/>
      <c r="B321" s="84"/>
      <c r="C321" s="13"/>
      <c r="D321" s="13"/>
      <c r="E321" s="13"/>
      <c r="F321" s="13"/>
      <c r="G321" s="13"/>
      <c r="H321" s="13"/>
      <c r="I321" s="13"/>
      <c r="J321" s="13"/>
      <c r="K321" s="13"/>
      <c r="L321" s="13"/>
      <c r="M321" s="13"/>
      <c r="N321" s="98"/>
      <c r="O321" s="98"/>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row>
    <row r="322">
      <c r="A322" s="13"/>
      <c r="B322" s="84"/>
      <c r="C322" s="13"/>
      <c r="D322" s="13"/>
      <c r="E322" s="13"/>
      <c r="F322" s="13"/>
      <c r="G322" s="13"/>
      <c r="H322" s="13"/>
      <c r="I322" s="13"/>
      <c r="J322" s="13"/>
      <c r="K322" s="13"/>
      <c r="L322" s="13"/>
      <c r="M322" s="13"/>
      <c r="N322" s="98"/>
      <c r="O322" s="98"/>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row>
    <row r="323">
      <c r="A323" s="13"/>
      <c r="B323" s="84"/>
      <c r="C323" s="13"/>
      <c r="D323" s="13"/>
      <c r="E323" s="13"/>
      <c r="F323" s="13"/>
      <c r="G323" s="13"/>
      <c r="H323" s="13"/>
      <c r="I323" s="13"/>
      <c r="J323" s="13"/>
      <c r="K323" s="13"/>
      <c r="L323" s="13"/>
      <c r="M323" s="13"/>
      <c r="N323" s="98"/>
      <c r="O323" s="98"/>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row>
    <row r="324">
      <c r="A324" s="13"/>
      <c r="B324" s="84"/>
      <c r="C324" s="13"/>
      <c r="D324" s="13"/>
      <c r="E324" s="13"/>
      <c r="F324" s="13"/>
      <c r="G324" s="13"/>
      <c r="H324" s="13"/>
      <c r="I324" s="13"/>
      <c r="J324" s="13"/>
      <c r="K324" s="13"/>
      <c r="L324" s="13"/>
      <c r="M324" s="13"/>
      <c r="N324" s="98"/>
      <c r="O324" s="98"/>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row>
    <row r="325">
      <c r="A325" s="13"/>
      <c r="B325" s="84"/>
      <c r="C325" s="13"/>
      <c r="D325" s="13"/>
      <c r="E325" s="13"/>
      <c r="F325" s="13"/>
      <c r="G325" s="13"/>
      <c r="H325" s="13"/>
      <c r="I325" s="13"/>
      <c r="J325" s="13"/>
      <c r="K325" s="13"/>
      <c r="L325" s="13"/>
      <c r="M325" s="13"/>
      <c r="N325" s="98"/>
      <c r="O325" s="98"/>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row>
    <row r="326">
      <c r="A326" s="13"/>
      <c r="B326" s="84"/>
      <c r="C326" s="13"/>
      <c r="D326" s="13"/>
      <c r="E326" s="13"/>
      <c r="F326" s="13"/>
      <c r="G326" s="13"/>
      <c r="H326" s="13"/>
      <c r="I326" s="13"/>
      <c r="J326" s="13"/>
      <c r="K326" s="13"/>
      <c r="L326" s="13"/>
      <c r="M326" s="13"/>
      <c r="N326" s="98"/>
      <c r="O326" s="98"/>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row>
    <row r="327">
      <c r="A327" s="13"/>
      <c r="B327" s="84"/>
      <c r="C327" s="13"/>
      <c r="D327" s="13"/>
      <c r="E327" s="13"/>
      <c r="F327" s="13"/>
      <c r="G327" s="13"/>
      <c r="H327" s="13"/>
      <c r="I327" s="13"/>
      <c r="J327" s="13"/>
      <c r="K327" s="13"/>
      <c r="L327" s="13"/>
      <c r="M327" s="13"/>
      <c r="N327" s="98"/>
      <c r="O327" s="98"/>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row>
    <row r="328">
      <c r="A328" s="13"/>
      <c r="B328" s="84"/>
      <c r="C328" s="13"/>
      <c r="D328" s="13"/>
      <c r="E328" s="13"/>
      <c r="F328" s="13"/>
      <c r="G328" s="13"/>
      <c r="H328" s="13"/>
      <c r="I328" s="13"/>
      <c r="J328" s="13"/>
      <c r="K328" s="13"/>
      <c r="L328" s="13"/>
      <c r="M328" s="13"/>
      <c r="N328" s="98"/>
      <c r="O328" s="98"/>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row>
    <row r="329">
      <c r="A329" s="13"/>
      <c r="B329" s="84"/>
      <c r="C329" s="13"/>
      <c r="D329" s="13"/>
      <c r="E329" s="13"/>
      <c r="F329" s="13"/>
      <c r="G329" s="13"/>
      <c r="H329" s="13"/>
      <c r="I329" s="13"/>
      <c r="J329" s="13"/>
      <c r="K329" s="13"/>
      <c r="L329" s="13"/>
      <c r="M329" s="13"/>
      <c r="N329" s="98"/>
      <c r="O329" s="98"/>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row>
    <row r="330">
      <c r="A330" s="13"/>
      <c r="B330" s="84"/>
      <c r="C330" s="13"/>
      <c r="D330" s="13"/>
      <c r="E330" s="13"/>
      <c r="F330" s="13"/>
      <c r="G330" s="13"/>
      <c r="H330" s="13"/>
      <c r="I330" s="13"/>
      <c r="J330" s="13"/>
      <c r="K330" s="13"/>
      <c r="L330" s="13"/>
      <c r="M330" s="13"/>
      <c r="N330" s="98"/>
      <c r="O330" s="98"/>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row>
    <row r="331">
      <c r="A331" s="13"/>
      <c r="B331" s="84"/>
      <c r="C331" s="13"/>
      <c r="D331" s="13"/>
      <c r="E331" s="13"/>
      <c r="F331" s="13"/>
      <c r="G331" s="13"/>
      <c r="H331" s="13"/>
      <c r="I331" s="13"/>
      <c r="J331" s="13"/>
      <c r="K331" s="13"/>
      <c r="L331" s="13"/>
      <c r="M331" s="13"/>
      <c r="N331" s="98"/>
      <c r="O331" s="98"/>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row>
    <row r="332">
      <c r="A332" s="13"/>
      <c r="B332" s="84"/>
      <c r="C332" s="13"/>
      <c r="D332" s="13"/>
      <c r="E332" s="13"/>
      <c r="F332" s="13"/>
      <c r="G332" s="13"/>
      <c r="H332" s="13"/>
      <c r="I332" s="13"/>
      <c r="J332" s="13"/>
      <c r="K332" s="13"/>
      <c r="L332" s="13"/>
      <c r="M332" s="13"/>
      <c r="N332" s="98"/>
      <c r="O332" s="98"/>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row>
    <row r="333">
      <c r="A333" s="13"/>
      <c r="B333" s="84"/>
      <c r="C333" s="13"/>
      <c r="D333" s="13"/>
      <c r="E333" s="13"/>
      <c r="F333" s="13"/>
      <c r="G333" s="13"/>
      <c r="H333" s="13"/>
      <c r="I333" s="13"/>
      <c r="J333" s="13"/>
      <c r="K333" s="13"/>
      <c r="L333" s="13"/>
      <c r="M333" s="13"/>
      <c r="N333" s="98"/>
      <c r="O333" s="98"/>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row>
    <row r="334">
      <c r="A334" s="13"/>
      <c r="B334" s="84"/>
      <c r="C334" s="13"/>
      <c r="D334" s="13"/>
      <c r="E334" s="13"/>
      <c r="F334" s="13"/>
      <c r="G334" s="13"/>
      <c r="H334" s="13"/>
      <c r="I334" s="13"/>
      <c r="J334" s="13"/>
      <c r="K334" s="13"/>
      <c r="L334" s="13"/>
      <c r="M334" s="13"/>
      <c r="N334" s="98"/>
      <c r="O334" s="98"/>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row>
    <row r="335">
      <c r="A335" s="13"/>
      <c r="B335" s="84"/>
      <c r="C335" s="13"/>
      <c r="D335" s="13"/>
      <c r="E335" s="13"/>
      <c r="F335" s="13"/>
      <c r="G335" s="13"/>
      <c r="H335" s="13"/>
      <c r="I335" s="13"/>
      <c r="J335" s="13"/>
      <c r="K335" s="13"/>
      <c r="L335" s="13"/>
      <c r="M335" s="13"/>
      <c r="N335" s="98"/>
      <c r="O335" s="98"/>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row>
    <row r="336">
      <c r="A336" s="13"/>
      <c r="B336" s="84"/>
      <c r="C336" s="13"/>
      <c r="D336" s="13"/>
      <c r="E336" s="13"/>
      <c r="F336" s="13"/>
      <c r="G336" s="13"/>
      <c r="H336" s="13"/>
      <c r="I336" s="13"/>
      <c r="J336" s="13"/>
      <c r="K336" s="13"/>
      <c r="L336" s="13"/>
      <c r="M336" s="13"/>
      <c r="N336" s="98"/>
      <c r="O336" s="98"/>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row>
    <row r="337">
      <c r="A337" s="13"/>
      <c r="B337" s="84"/>
      <c r="C337" s="13"/>
      <c r="D337" s="13"/>
      <c r="E337" s="13"/>
      <c r="F337" s="13"/>
      <c r="G337" s="13"/>
      <c r="H337" s="13"/>
      <c r="I337" s="13"/>
      <c r="J337" s="13"/>
      <c r="K337" s="13"/>
      <c r="L337" s="13"/>
      <c r="M337" s="13"/>
      <c r="N337" s="98"/>
      <c r="O337" s="98"/>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row>
    <row r="338">
      <c r="A338" s="13"/>
      <c r="B338" s="84"/>
      <c r="C338" s="13"/>
      <c r="D338" s="13"/>
      <c r="E338" s="13"/>
      <c r="F338" s="13"/>
      <c r="G338" s="13"/>
      <c r="H338" s="13"/>
      <c r="I338" s="13"/>
      <c r="J338" s="13"/>
      <c r="K338" s="13"/>
      <c r="L338" s="13"/>
      <c r="M338" s="13"/>
      <c r="N338" s="98"/>
      <c r="O338" s="98"/>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row>
    <row r="339">
      <c r="A339" s="13"/>
      <c r="B339" s="84"/>
      <c r="C339" s="13"/>
      <c r="D339" s="13"/>
      <c r="E339" s="13"/>
      <c r="F339" s="13"/>
      <c r="G339" s="13"/>
      <c r="H339" s="13"/>
      <c r="I339" s="13"/>
      <c r="J339" s="13"/>
      <c r="K339" s="13"/>
      <c r="L339" s="13"/>
      <c r="M339" s="13"/>
      <c r="N339" s="98"/>
      <c r="O339" s="98"/>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row>
    <row r="340">
      <c r="A340" s="13"/>
      <c r="B340" s="84"/>
      <c r="C340" s="13"/>
      <c r="D340" s="13"/>
      <c r="E340" s="13"/>
      <c r="F340" s="13"/>
      <c r="G340" s="13"/>
      <c r="H340" s="13"/>
      <c r="I340" s="13"/>
      <c r="J340" s="13"/>
      <c r="K340" s="13"/>
      <c r="L340" s="13"/>
      <c r="M340" s="13"/>
      <c r="N340" s="98"/>
      <c r="O340" s="98"/>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row>
    <row r="341">
      <c r="A341" s="13"/>
      <c r="B341" s="84"/>
      <c r="C341" s="13"/>
      <c r="D341" s="13"/>
      <c r="E341" s="13"/>
      <c r="F341" s="13"/>
      <c r="G341" s="13"/>
      <c r="H341" s="13"/>
      <c r="I341" s="13"/>
      <c r="J341" s="13"/>
      <c r="K341" s="13"/>
      <c r="L341" s="13"/>
      <c r="M341" s="13"/>
      <c r="N341" s="98"/>
      <c r="O341" s="98"/>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row>
    <row r="342">
      <c r="A342" s="13"/>
      <c r="B342" s="84"/>
      <c r="C342" s="13"/>
      <c r="D342" s="13"/>
      <c r="E342" s="13"/>
      <c r="F342" s="13"/>
      <c r="G342" s="13"/>
      <c r="H342" s="13"/>
      <c r="I342" s="13"/>
      <c r="J342" s="13"/>
      <c r="K342" s="13"/>
      <c r="L342" s="13"/>
      <c r="M342" s="13"/>
      <c r="N342" s="98"/>
      <c r="O342" s="98"/>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row>
    <row r="343">
      <c r="A343" s="13"/>
      <c r="B343" s="84"/>
      <c r="C343" s="13"/>
      <c r="D343" s="13"/>
      <c r="E343" s="13"/>
      <c r="F343" s="13"/>
      <c r="G343" s="13"/>
      <c r="H343" s="13"/>
      <c r="I343" s="13"/>
      <c r="J343" s="13"/>
      <c r="K343" s="13"/>
      <c r="L343" s="13"/>
      <c r="M343" s="13"/>
      <c r="N343" s="98"/>
      <c r="O343" s="98"/>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row>
    <row r="344">
      <c r="A344" s="13"/>
      <c r="B344" s="84"/>
      <c r="C344" s="13"/>
      <c r="D344" s="13"/>
      <c r="E344" s="13"/>
      <c r="F344" s="13"/>
      <c r="G344" s="13"/>
      <c r="H344" s="13"/>
      <c r="I344" s="13"/>
      <c r="J344" s="13"/>
      <c r="K344" s="13"/>
      <c r="L344" s="13"/>
      <c r="M344" s="13"/>
      <c r="N344" s="98"/>
      <c r="O344" s="98"/>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row>
    <row r="345">
      <c r="A345" s="13"/>
      <c r="B345" s="84"/>
      <c r="C345" s="13"/>
      <c r="D345" s="13"/>
      <c r="E345" s="13"/>
      <c r="F345" s="13"/>
      <c r="G345" s="13"/>
      <c r="H345" s="13"/>
      <c r="I345" s="13"/>
      <c r="J345" s="13"/>
      <c r="K345" s="13"/>
      <c r="L345" s="13"/>
      <c r="M345" s="13"/>
      <c r="N345" s="98"/>
      <c r="O345" s="98"/>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row>
    <row r="346">
      <c r="A346" s="13"/>
      <c r="B346" s="84"/>
      <c r="C346" s="13"/>
      <c r="D346" s="13"/>
      <c r="E346" s="13"/>
      <c r="F346" s="13"/>
      <c r="G346" s="13"/>
      <c r="H346" s="13"/>
      <c r="I346" s="13"/>
      <c r="J346" s="13"/>
      <c r="K346" s="13"/>
      <c r="L346" s="13"/>
      <c r="M346" s="13"/>
      <c r="N346" s="98"/>
      <c r="O346" s="98"/>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row>
    <row r="347">
      <c r="A347" s="13"/>
      <c r="B347" s="84"/>
      <c r="C347" s="13"/>
      <c r="D347" s="13"/>
      <c r="E347" s="13"/>
      <c r="F347" s="13"/>
      <c r="G347" s="13"/>
      <c r="H347" s="13"/>
      <c r="I347" s="13"/>
      <c r="J347" s="13"/>
      <c r="K347" s="13"/>
      <c r="L347" s="13"/>
      <c r="M347" s="13"/>
      <c r="N347" s="98"/>
      <c r="O347" s="98"/>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row>
    <row r="348">
      <c r="A348" s="13"/>
      <c r="B348" s="84"/>
      <c r="C348" s="13"/>
      <c r="D348" s="13"/>
      <c r="E348" s="13"/>
      <c r="F348" s="13"/>
      <c r="G348" s="13"/>
      <c r="H348" s="13"/>
      <c r="I348" s="13"/>
      <c r="J348" s="13"/>
      <c r="K348" s="13"/>
      <c r="L348" s="13"/>
      <c r="M348" s="13"/>
      <c r="N348" s="98"/>
      <c r="O348" s="98"/>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row>
    <row r="349">
      <c r="A349" s="13"/>
      <c r="B349" s="84"/>
      <c r="C349" s="13"/>
      <c r="D349" s="13"/>
      <c r="E349" s="13"/>
      <c r="F349" s="13"/>
      <c r="G349" s="13"/>
      <c r="H349" s="13"/>
      <c r="I349" s="13"/>
      <c r="J349" s="13"/>
      <c r="K349" s="13"/>
      <c r="L349" s="13"/>
      <c r="M349" s="13"/>
      <c r="N349" s="98"/>
      <c r="O349" s="98"/>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row>
    <row r="350">
      <c r="A350" s="13"/>
      <c r="B350" s="84"/>
      <c r="C350" s="13"/>
      <c r="D350" s="13"/>
      <c r="E350" s="13"/>
      <c r="F350" s="13"/>
      <c r="G350" s="13"/>
      <c r="H350" s="13"/>
      <c r="I350" s="13"/>
      <c r="J350" s="13"/>
      <c r="K350" s="13"/>
      <c r="L350" s="13"/>
      <c r="M350" s="13"/>
      <c r="N350" s="98"/>
      <c r="O350" s="98"/>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row>
    <row r="351">
      <c r="A351" s="13"/>
      <c r="B351" s="84"/>
      <c r="C351" s="13"/>
      <c r="D351" s="13"/>
      <c r="E351" s="13"/>
      <c r="F351" s="13"/>
      <c r="G351" s="13"/>
      <c r="H351" s="13"/>
      <c r="I351" s="13"/>
      <c r="J351" s="13"/>
      <c r="K351" s="13"/>
      <c r="L351" s="13"/>
      <c r="M351" s="13"/>
      <c r="N351" s="98"/>
      <c r="O351" s="98"/>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row>
    <row r="352">
      <c r="A352" s="13"/>
      <c r="B352" s="84"/>
      <c r="C352" s="13"/>
      <c r="D352" s="13"/>
      <c r="E352" s="13"/>
      <c r="F352" s="13"/>
      <c r="G352" s="13"/>
      <c r="H352" s="13"/>
      <c r="I352" s="13"/>
      <c r="J352" s="13"/>
      <c r="K352" s="13"/>
      <c r="L352" s="13"/>
      <c r="M352" s="13"/>
      <c r="N352" s="98"/>
      <c r="O352" s="98"/>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row>
    <row r="353">
      <c r="A353" s="13"/>
      <c r="B353" s="84"/>
      <c r="C353" s="13"/>
      <c r="D353" s="13"/>
      <c r="E353" s="13"/>
      <c r="F353" s="13"/>
      <c r="G353" s="13"/>
      <c r="H353" s="13"/>
      <c r="I353" s="13"/>
      <c r="J353" s="13"/>
      <c r="K353" s="13"/>
      <c r="L353" s="13"/>
      <c r="M353" s="13"/>
      <c r="N353" s="98"/>
      <c r="O353" s="98"/>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row>
    <row r="354">
      <c r="A354" s="13"/>
      <c r="B354" s="84"/>
      <c r="C354" s="13"/>
      <c r="D354" s="13"/>
      <c r="E354" s="13"/>
      <c r="F354" s="13"/>
      <c r="G354" s="13"/>
      <c r="H354" s="13"/>
      <c r="I354" s="13"/>
      <c r="J354" s="13"/>
      <c r="K354" s="13"/>
      <c r="L354" s="13"/>
      <c r="M354" s="13"/>
      <c r="N354" s="98"/>
      <c r="O354" s="98"/>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row>
    <row r="355">
      <c r="A355" s="13"/>
      <c r="B355" s="84"/>
      <c r="C355" s="13"/>
      <c r="D355" s="13"/>
      <c r="E355" s="13"/>
      <c r="F355" s="13"/>
      <c r="G355" s="13"/>
      <c r="H355" s="13"/>
      <c r="I355" s="13"/>
      <c r="J355" s="13"/>
      <c r="K355" s="13"/>
      <c r="L355" s="13"/>
      <c r="M355" s="13"/>
      <c r="N355" s="98"/>
      <c r="O355" s="98"/>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row>
    <row r="356">
      <c r="A356" s="13"/>
      <c r="B356" s="84"/>
      <c r="C356" s="13"/>
      <c r="D356" s="13"/>
      <c r="E356" s="13"/>
      <c r="F356" s="13"/>
      <c r="G356" s="13"/>
      <c r="H356" s="13"/>
      <c r="I356" s="13"/>
      <c r="J356" s="13"/>
      <c r="K356" s="13"/>
      <c r="L356" s="13"/>
      <c r="M356" s="13"/>
      <c r="N356" s="98"/>
      <c r="O356" s="98"/>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row>
    <row r="357">
      <c r="A357" s="13"/>
      <c r="B357" s="84"/>
      <c r="C357" s="13"/>
      <c r="D357" s="13"/>
      <c r="E357" s="13"/>
      <c r="F357" s="13"/>
      <c r="G357" s="13"/>
      <c r="H357" s="13"/>
      <c r="I357" s="13"/>
      <c r="J357" s="13"/>
      <c r="K357" s="13"/>
      <c r="L357" s="13"/>
      <c r="M357" s="13"/>
      <c r="N357" s="98"/>
      <c r="O357" s="98"/>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row>
    <row r="358">
      <c r="A358" s="13"/>
      <c r="B358" s="84"/>
      <c r="C358" s="13"/>
      <c r="D358" s="13"/>
      <c r="E358" s="13"/>
      <c r="F358" s="13"/>
      <c r="G358" s="13"/>
      <c r="H358" s="13"/>
      <c r="I358" s="13"/>
      <c r="J358" s="13"/>
      <c r="K358" s="13"/>
      <c r="L358" s="13"/>
      <c r="M358" s="13"/>
      <c r="N358" s="98"/>
      <c r="O358" s="98"/>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row>
    <row r="359">
      <c r="A359" s="13"/>
      <c r="B359" s="84"/>
      <c r="C359" s="13"/>
      <c r="D359" s="13"/>
      <c r="E359" s="13"/>
      <c r="F359" s="13"/>
      <c r="G359" s="13"/>
      <c r="H359" s="13"/>
      <c r="I359" s="13"/>
      <c r="J359" s="13"/>
      <c r="K359" s="13"/>
      <c r="L359" s="13"/>
      <c r="M359" s="13"/>
      <c r="N359" s="98"/>
      <c r="O359" s="98"/>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row>
    <row r="360">
      <c r="A360" s="13"/>
      <c r="B360" s="84"/>
      <c r="C360" s="13"/>
      <c r="D360" s="13"/>
      <c r="E360" s="13"/>
      <c r="F360" s="13"/>
      <c r="G360" s="13"/>
      <c r="H360" s="13"/>
      <c r="I360" s="13"/>
      <c r="J360" s="13"/>
      <c r="K360" s="13"/>
      <c r="L360" s="13"/>
      <c r="M360" s="13"/>
      <c r="N360" s="98"/>
      <c r="O360" s="98"/>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row>
    <row r="361">
      <c r="A361" s="13"/>
      <c r="B361" s="84"/>
      <c r="C361" s="13"/>
      <c r="D361" s="13"/>
      <c r="E361" s="13"/>
      <c r="F361" s="13"/>
      <c r="G361" s="13"/>
      <c r="H361" s="13"/>
      <c r="I361" s="13"/>
      <c r="J361" s="13"/>
      <c r="K361" s="13"/>
      <c r="L361" s="13"/>
      <c r="M361" s="13"/>
      <c r="N361" s="98"/>
      <c r="O361" s="98"/>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row>
    <row r="362">
      <c r="A362" s="13"/>
      <c r="B362" s="84"/>
      <c r="C362" s="13"/>
      <c r="D362" s="13"/>
      <c r="E362" s="13"/>
      <c r="F362" s="13"/>
      <c r="G362" s="13"/>
      <c r="H362" s="13"/>
      <c r="I362" s="13"/>
      <c r="J362" s="13"/>
      <c r="K362" s="13"/>
      <c r="L362" s="13"/>
      <c r="M362" s="13"/>
      <c r="N362" s="98"/>
      <c r="O362" s="98"/>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row>
    <row r="363">
      <c r="A363" s="13"/>
      <c r="B363" s="84"/>
      <c r="C363" s="13"/>
      <c r="D363" s="13"/>
      <c r="E363" s="13"/>
      <c r="F363" s="13"/>
      <c r="G363" s="13"/>
      <c r="H363" s="13"/>
      <c r="I363" s="13"/>
      <c r="J363" s="13"/>
      <c r="K363" s="13"/>
      <c r="L363" s="13"/>
      <c r="M363" s="13"/>
      <c r="N363" s="98"/>
      <c r="O363" s="98"/>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row>
    <row r="364">
      <c r="A364" s="13"/>
      <c r="B364" s="84"/>
      <c r="C364" s="13"/>
      <c r="D364" s="13"/>
      <c r="E364" s="13"/>
      <c r="F364" s="13"/>
      <c r="G364" s="13"/>
      <c r="H364" s="13"/>
      <c r="I364" s="13"/>
      <c r="J364" s="13"/>
      <c r="K364" s="13"/>
      <c r="L364" s="13"/>
      <c r="M364" s="13"/>
      <c r="N364" s="98"/>
      <c r="O364" s="98"/>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row>
    <row r="365">
      <c r="A365" s="13"/>
      <c r="B365" s="84"/>
      <c r="C365" s="13"/>
      <c r="D365" s="13"/>
      <c r="E365" s="13"/>
      <c r="F365" s="13"/>
      <c r="G365" s="13"/>
      <c r="H365" s="13"/>
      <c r="I365" s="13"/>
      <c r="J365" s="13"/>
      <c r="K365" s="13"/>
      <c r="L365" s="13"/>
      <c r="M365" s="13"/>
      <c r="N365" s="98"/>
      <c r="O365" s="98"/>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row>
    <row r="366">
      <c r="A366" s="13"/>
      <c r="B366" s="84"/>
      <c r="C366" s="13"/>
      <c r="D366" s="13"/>
      <c r="E366" s="13"/>
      <c r="F366" s="13"/>
      <c r="G366" s="13"/>
      <c r="H366" s="13"/>
      <c r="I366" s="13"/>
      <c r="J366" s="13"/>
      <c r="K366" s="13"/>
      <c r="L366" s="13"/>
      <c r="M366" s="13"/>
      <c r="N366" s="98"/>
      <c r="O366" s="98"/>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row>
    <row r="367">
      <c r="A367" s="13"/>
      <c r="B367" s="84"/>
      <c r="C367" s="13"/>
      <c r="D367" s="13"/>
      <c r="E367" s="13"/>
      <c r="F367" s="13"/>
      <c r="G367" s="13"/>
      <c r="H367" s="13"/>
      <c r="I367" s="13"/>
      <c r="J367" s="13"/>
      <c r="K367" s="13"/>
      <c r="L367" s="13"/>
      <c r="M367" s="13"/>
      <c r="N367" s="98"/>
      <c r="O367" s="98"/>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row>
    <row r="368">
      <c r="A368" s="13"/>
      <c r="B368" s="84"/>
      <c r="C368" s="13"/>
      <c r="D368" s="13"/>
      <c r="E368" s="13"/>
      <c r="F368" s="13"/>
      <c r="G368" s="13"/>
      <c r="H368" s="13"/>
      <c r="I368" s="13"/>
      <c r="J368" s="13"/>
      <c r="K368" s="13"/>
      <c r="L368" s="13"/>
      <c r="M368" s="13"/>
      <c r="N368" s="98"/>
      <c r="O368" s="98"/>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row>
    <row r="369">
      <c r="A369" s="13"/>
      <c r="B369" s="84"/>
      <c r="C369" s="13"/>
      <c r="D369" s="13"/>
      <c r="E369" s="13"/>
      <c r="F369" s="13"/>
      <c r="G369" s="13"/>
      <c r="H369" s="13"/>
      <c r="I369" s="13"/>
      <c r="J369" s="13"/>
      <c r="K369" s="13"/>
      <c r="L369" s="13"/>
      <c r="M369" s="13"/>
      <c r="N369" s="98"/>
      <c r="O369" s="98"/>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row>
    <row r="370">
      <c r="A370" s="13"/>
      <c r="B370" s="84"/>
      <c r="C370" s="13"/>
      <c r="D370" s="13"/>
      <c r="E370" s="13"/>
      <c r="F370" s="13"/>
      <c r="G370" s="13"/>
      <c r="H370" s="13"/>
      <c r="I370" s="13"/>
      <c r="J370" s="13"/>
      <c r="K370" s="13"/>
      <c r="L370" s="13"/>
      <c r="M370" s="13"/>
      <c r="N370" s="98"/>
      <c r="O370" s="98"/>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row>
    <row r="371">
      <c r="A371" s="13"/>
      <c r="B371" s="84"/>
      <c r="C371" s="13"/>
      <c r="D371" s="13"/>
      <c r="E371" s="13"/>
      <c r="F371" s="13"/>
      <c r="G371" s="13"/>
      <c r="H371" s="13"/>
      <c r="I371" s="13"/>
      <c r="J371" s="13"/>
      <c r="K371" s="13"/>
      <c r="L371" s="13"/>
      <c r="M371" s="13"/>
      <c r="N371" s="98"/>
      <c r="O371" s="98"/>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row>
    <row r="372">
      <c r="A372" s="13"/>
      <c r="B372" s="84"/>
      <c r="C372" s="13"/>
      <c r="D372" s="13"/>
      <c r="E372" s="13"/>
      <c r="F372" s="13"/>
      <c r="G372" s="13"/>
      <c r="H372" s="13"/>
      <c r="I372" s="13"/>
      <c r="J372" s="13"/>
      <c r="K372" s="13"/>
      <c r="L372" s="13"/>
      <c r="M372" s="13"/>
      <c r="N372" s="98"/>
      <c r="O372" s="98"/>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row>
    <row r="373">
      <c r="A373" s="13"/>
      <c r="B373" s="84"/>
      <c r="C373" s="13"/>
      <c r="D373" s="13"/>
      <c r="E373" s="13"/>
      <c r="F373" s="13"/>
      <c r="G373" s="13"/>
      <c r="H373" s="13"/>
      <c r="I373" s="13"/>
      <c r="J373" s="13"/>
      <c r="K373" s="13"/>
      <c r="L373" s="13"/>
      <c r="M373" s="13"/>
      <c r="N373" s="98"/>
      <c r="O373" s="98"/>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row>
    <row r="374">
      <c r="A374" s="13"/>
      <c r="B374" s="84"/>
      <c r="C374" s="13"/>
      <c r="D374" s="13"/>
      <c r="E374" s="13"/>
      <c r="F374" s="13"/>
      <c r="G374" s="13"/>
      <c r="H374" s="13"/>
      <c r="I374" s="13"/>
      <c r="J374" s="13"/>
      <c r="K374" s="13"/>
      <c r="L374" s="13"/>
      <c r="M374" s="13"/>
      <c r="N374" s="98"/>
      <c r="O374" s="98"/>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row>
    <row r="375">
      <c r="A375" s="13"/>
      <c r="B375" s="84"/>
      <c r="C375" s="13"/>
      <c r="D375" s="13"/>
      <c r="E375" s="13"/>
      <c r="F375" s="13"/>
      <c r="G375" s="13"/>
      <c r="H375" s="13"/>
      <c r="I375" s="13"/>
      <c r="J375" s="13"/>
      <c r="K375" s="13"/>
      <c r="L375" s="13"/>
      <c r="M375" s="13"/>
      <c r="N375" s="98"/>
      <c r="O375" s="98"/>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row>
    <row r="376">
      <c r="A376" s="13"/>
      <c r="B376" s="84"/>
      <c r="C376" s="13"/>
      <c r="D376" s="13"/>
      <c r="E376" s="13"/>
      <c r="F376" s="13"/>
      <c r="G376" s="13"/>
      <c r="H376" s="13"/>
      <c r="I376" s="13"/>
      <c r="J376" s="13"/>
      <c r="K376" s="13"/>
      <c r="L376" s="13"/>
      <c r="M376" s="13"/>
      <c r="N376" s="98"/>
      <c r="O376" s="98"/>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row>
    <row r="377">
      <c r="A377" s="13"/>
      <c r="B377" s="84"/>
      <c r="C377" s="13"/>
      <c r="D377" s="13"/>
      <c r="E377" s="13"/>
      <c r="F377" s="13"/>
      <c r="G377" s="13"/>
      <c r="H377" s="13"/>
      <c r="I377" s="13"/>
      <c r="J377" s="13"/>
      <c r="K377" s="13"/>
      <c r="L377" s="13"/>
      <c r="M377" s="13"/>
      <c r="N377" s="98"/>
      <c r="O377" s="98"/>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row>
    <row r="378">
      <c r="A378" s="13"/>
      <c r="B378" s="84"/>
      <c r="C378" s="13"/>
      <c r="D378" s="13"/>
      <c r="E378" s="13"/>
      <c r="F378" s="13"/>
      <c r="G378" s="13"/>
      <c r="H378" s="13"/>
      <c r="I378" s="13"/>
      <c r="J378" s="13"/>
      <c r="K378" s="13"/>
      <c r="L378" s="13"/>
      <c r="M378" s="13"/>
      <c r="N378" s="98"/>
      <c r="O378" s="98"/>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row>
    <row r="379">
      <c r="A379" s="13"/>
      <c r="B379" s="84"/>
      <c r="C379" s="13"/>
      <c r="D379" s="13"/>
      <c r="E379" s="13"/>
      <c r="F379" s="13"/>
      <c r="G379" s="13"/>
      <c r="H379" s="13"/>
      <c r="I379" s="13"/>
      <c r="J379" s="13"/>
      <c r="K379" s="13"/>
      <c r="L379" s="13"/>
      <c r="M379" s="13"/>
      <c r="N379" s="98"/>
      <c r="O379" s="98"/>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row>
    <row r="380">
      <c r="A380" s="13"/>
      <c r="B380" s="84"/>
      <c r="C380" s="13"/>
      <c r="D380" s="13"/>
      <c r="E380" s="13"/>
      <c r="F380" s="13"/>
      <c r="G380" s="13"/>
      <c r="H380" s="13"/>
      <c r="I380" s="13"/>
      <c r="J380" s="13"/>
      <c r="K380" s="13"/>
      <c r="L380" s="13"/>
      <c r="M380" s="13"/>
      <c r="N380" s="98"/>
      <c r="O380" s="98"/>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row>
    <row r="381">
      <c r="A381" s="13"/>
      <c r="B381" s="84"/>
      <c r="C381" s="13"/>
      <c r="D381" s="13"/>
      <c r="E381" s="13"/>
      <c r="F381" s="13"/>
      <c r="G381" s="13"/>
      <c r="H381" s="13"/>
      <c r="I381" s="13"/>
      <c r="J381" s="13"/>
      <c r="K381" s="13"/>
      <c r="L381" s="13"/>
      <c r="M381" s="13"/>
      <c r="N381" s="98"/>
      <c r="O381" s="98"/>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row>
    <row r="382">
      <c r="A382" s="13"/>
      <c r="B382" s="84"/>
      <c r="C382" s="13"/>
      <c r="D382" s="13"/>
      <c r="E382" s="13"/>
      <c r="F382" s="13"/>
      <c r="G382" s="13"/>
      <c r="H382" s="13"/>
      <c r="I382" s="13"/>
      <c r="J382" s="13"/>
      <c r="K382" s="13"/>
      <c r="L382" s="13"/>
      <c r="M382" s="13"/>
      <c r="N382" s="98"/>
      <c r="O382" s="98"/>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row>
    <row r="383">
      <c r="A383" s="13"/>
      <c r="B383" s="84"/>
      <c r="C383" s="13"/>
      <c r="D383" s="13"/>
      <c r="E383" s="13"/>
      <c r="F383" s="13"/>
      <c r="G383" s="13"/>
      <c r="H383" s="13"/>
      <c r="I383" s="13"/>
      <c r="J383" s="13"/>
      <c r="K383" s="13"/>
      <c r="L383" s="13"/>
      <c r="M383" s="13"/>
      <c r="N383" s="98"/>
      <c r="O383" s="98"/>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row>
    <row r="384">
      <c r="A384" s="13"/>
      <c r="B384" s="84"/>
      <c r="C384" s="13"/>
      <c r="D384" s="13"/>
      <c r="E384" s="13"/>
      <c r="F384" s="13"/>
      <c r="G384" s="13"/>
      <c r="H384" s="13"/>
      <c r="I384" s="13"/>
      <c r="J384" s="13"/>
      <c r="K384" s="13"/>
      <c r="L384" s="13"/>
      <c r="M384" s="13"/>
      <c r="N384" s="98"/>
      <c r="O384" s="98"/>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row>
    <row r="385">
      <c r="A385" s="13"/>
      <c r="B385" s="84"/>
      <c r="C385" s="13"/>
      <c r="D385" s="13"/>
      <c r="E385" s="13"/>
      <c r="F385" s="13"/>
      <c r="G385" s="13"/>
      <c r="H385" s="13"/>
      <c r="I385" s="13"/>
      <c r="J385" s="13"/>
      <c r="K385" s="13"/>
      <c r="L385" s="13"/>
      <c r="M385" s="13"/>
      <c r="N385" s="98"/>
      <c r="O385" s="98"/>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row>
    <row r="386">
      <c r="A386" s="13"/>
      <c r="B386" s="84"/>
      <c r="C386" s="13"/>
      <c r="D386" s="13"/>
      <c r="E386" s="13"/>
      <c r="F386" s="13"/>
      <c r="G386" s="13"/>
      <c r="H386" s="13"/>
      <c r="I386" s="13"/>
      <c r="J386" s="13"/>
      <c r="K386" s="13"/>
      <c r="L386" s="13"/>
      <c r="M386" s="13"/>
      <c r="N386" s="98"/>
      <c r="O386" s="98"/>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row>
    <row r="387">
      <c r="A387" s="13"/>
      <c r="B387" s="84"/>
      <c r="C387" s="13"/>
      <c r="D387" s="13"/>
      <c r="E387" s="13"/>
      <c r="F387" s="13"/>
      <c r="G387" s="13"/>
      <c r="H387" s="13"/>
      <c r="I387" s="13"/>
      <c r="J387" s="13"/>
      <c r="K387" s="13"/>
      <c r="L387" s="13"/>
      <c r="M387" s="13"/>
      <c r="N387" s="98"/>
      <c r="O387" s="98"/>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row>
    <row r="388">
      <c r="A388" s="13"/>
      <c r="B388" s="84"/>
      <c r="C388" s="13"/>
      <c r="D388" s="13"/>
      <c r="E388" s="13"/>
      <c r="F388" s="13"/>
      <c r="G388" s="13"/>
      <c r="H388" s="13"/>
      <c r="I388" s="13"/>
      <c r="J388" s="13"/>
      <c r="K388" s="13"/>
      <c r="L388" s="13"/>
      <c r="M388" s="13"/>
      <c r="N388" s="98"/>
      <c r="O388" s="98"/>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row>
    <row r="389">
      <c r="A389" s="13"/>
      <c r="B389" s="84"/>
      <c r="C389" s="13"/>
      <c r="D389" s="13"/>
      <c r="E389" s="13"/>
      <c r="F389" s="13"/>
      <c r="G389" s="13"/>
      <c r="H389" s="13"/>
      <c r="I389" s="13"/>
      <c r="J389" s="13"/>
      <c r="K389" s="13"/>
      <c r="L389" s="13"/>
      <c r="M389" s="13"/>
      <c r="N389" s="98"/>
      <c r="O389" s="98"/>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row>
    <row r="390">
      <c r="A390" s="13"/>
      <c r="B390" s="84"/>
      <c r="C390" s="13"/>
      <c r="D390" s="13"/>
      <c r="E390" s="13"/>
      <c r="F390" s="13"/>
      <c r="G390" s="13"/>
      <c r="H390" s="13"/>
      <c r="I390" s="13"/>
      <c r="J390" s="13"/>
      <c r="K390" s="13"/>
      <c r="L390" s="13"/>
      <c r="M390" s="13"/>
      <c r="N390" s="98"/>
      <c r="O390" s="98"/>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row>
    <row r="391">
      <c r="A391" s="13"/>
      <c r="B391" s="84"/>
      <c r="C391" s="13"/>
      <c r="D391" s="13"/>
      <c r="E391" s="13"/>
      <c r="F391" s="13"/>
      <c r="G391" s="13"/>
      <c r="H391" s="13"/>
      <c r="I391" s="13"/>
      <c r="J391" s="13"/>
      <c r="K391" s="13"/>
      <c r="L391" s="13"/>
      <c r="M391" s="13"/>
      <c r="N391" s="98"/>
      <c r="O391" s="98"/>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row>
    <row r="392">
      <c r="A392" s="13"/>
      <c r="B392" s="84"/>
      <c r="C392" s="13"/>
      <c r="D392" s="13"/>
      <c r="E392" s="13"/>
      <c r="F392" s="13"/>
      <c r="G392" s="13"/>
      <c r="H392" s="13"/>
      <c r="I392" s="13"/>
      <c r="J392" s="13"/>
      <c r="K392" s="13"/>
      <c r="L392" s="13"/>
      <c r="M392" s="13"/>
      <c r="N392" s="98"/>
      <c r="O392" s="98"/>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row>
    <row r="393">
      <c r="A393" s="13"/>
      <c r="B393" s="84"/>
      <c r="C393" s="13"/>
      <c r="D393" s="13"/>
      <c r="E393" s="13"/>
      <c r="F393" s="13"/>
      <c r="G393" s="13"/>
      <c r="H393" s="13"/>
      <c r="I393" s="13"/>
      <c r="J393" s="13"/>
      <c r="K393" s="13"/>
      <c r="L393" s="13"/>
      <c r="M393" s="13"/>
      <c r="N393" s="98"/>
      <c r="O393" s="98"/>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row>
    <row r="394">
      <c r="A394" s="13"/>
      <c r="B394" s="84"/>
      <c r="C394" s="13"/>
      <c r="D394" s="13"/>
      <c r="E394" s="13"/>
      <c r="F394" s="13"/>
      <c r="G394" s="13"/>
      <c r="H394" s="13"/>
      <c r="I394" s="13"/>
      <c r="J394" s="13"/>
      <c r="K394" s="13"/>
      <c r="L394" s="13"/>
      <c r="M394" s="13"/>
      <c r="N394" s="98"/>
      <c r="O394" s="98"/>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row>
    <row r="395">
      <c r="A395" s="13"/>
      <c r="B395" s="84"/>
      <c r="C395" s="13"/>
      <c r="D395" s="13"/>
      <c r="E395" s="13"/>
      <c r="F395" s="13"/>
      <c r="G395" s="13"/>
      <c r="H395" s="13"/>
      <c r="I395" s="13"/>
      <c r="J395" s="13"/>
      <c r="K395" s="13"/>
      <c r="L395" s="13"/>
      <c r="M395" s="13"/>
      <c r="N395" s="98"/>
      <c r="O395" s="98"/>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row>
    <row r="396">
      <c r="A396" s="13"/>
      <c r="B396" s="84"/>
      <c r="C396" s="13"/>
      <c r="D396" s="13"/>
      <c r="E396" s="13"/>
      <c r="F396" s="13"/>
      <c r="G396" s="13"/>
      <c r="H396" s="13"/>
      <c r="I396" s="13"/>
      <c r="J396" s="13"/>
      <c r="K396" s="13"/>
      <c r="L396" s="13"/>
      <c r="M396" s="13"/>
      <c r="N396" s="98"/>
      <c r="O396" s="98"/>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row>
    <row r="397">
      <c r="A397" s="13"/>
      <c r="B397" s="84"/>
      <c r="C397" s="13"/>
      <c r="D397" s="13"/>
      <c r="E397" s="13"/>
      <c r="F397" s="13"/>
      <c r="G397" s="13"/>
      <c r="H397" s="13"/>
      <c r="I397" s="13"/>
      <c r="J397" s="13"/>
      <c r="K397" s="13"/>
      <c r="L397" s="13"/>
      <c r="M397" s="13"/>
      <c r="N397" s="98"/>
      <c r="O397" s="98"/>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row>
    <row r="398">
      <c r="A398" s="13"/>
      <c r="B398" s="84"/>
      <c r="C398" s="13"/>
      <c r="D398" s="13"/>
      <c r="E398" s="13"/>
      <c r="F398" s="13"/>
      <c r="G398" s="13"/>
      <c r="H398" s="13"/>
      <c r="I398" s="13"/>
      <c r="J398" s="13"/>
      <c r="K398" s="13"/>
      <c r="L398" s="13"/>
      <c r="M398" s="13"/>
      <c r="N398" s="98"/>
      <c r="O398" s="98"/>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row>
    <row r="399">
      <c r="A399" s="13"/>
      <c r="B399" s="84"/>
      <c r="C399" s="13"/>
      <c r="D399" s="13"/>
      <c r="E399" s="13"/>
      <c r="F399" s="13"/>
      <c r="G399" s="13"/>
      <c r="H399" s="13"/>
      <c r="I399" s="13"/>
      <c r="J399" s="13"/>
      <c r="K399" s="13"/>
      <c r="L399" s="13"/>
      <c r="M399" s="13"/>
      <c r="N399" s="98"/>
      <c r="O399" s="98"/>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row>
    <row r="400">
      <c r="A400" s="13"/>
      <c r="B400" s="84"/>
      <c r="C400" s="13"/>
      <c r="D400" s="13"/>
      <c r="E400" s="13"/>
      <c r="F400" s="13"/>
      <c r="G400" s="13"/>
      <c r="H400" s="13"/>
      <c r="I400" s="13"/>
      <c r="J400" s="13"/>
      <c r="K400" s="13"/>
      <c r="L400" s="13"/>
      <c r="M400" s="13"/>
      <c r="N400" s="98"/>
      <c r="O400" s="98"/>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row>
    <row r="401">
      <c r="A401" s="13"/>
      <c r="B401" s="84"/>
      <c r="C401" s="13"/>
      <c r="D401" s="13"/>
      <c r="E401" s="13"/>
      <c r="F401" s="13"/>
      <c r="G401" s="13"/>
      <c r="H401" s="13"/>
      <c r="I401" s="13"/>
      <c r="J401" s="13"/>
      <c r="K401" s="13"/>
      <c r="L401" s="13"/>
      <c r="M401" s="13"/>
      <c r="N401" s="98"/>
      <c r="O401" s="98"/>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row>
    <row r="402">
      <c r="A402" s="13"/>
      <c r="B402" s="84"/>
      <c r="C402" s="13"/>
      <c r="D402" s="13"/>
      <c r="E402" s="13"/>
      <c r="F402" s="13"/>
      <c r="G402" s="13"/>
      <c r="H402" s="13"/>
      <c r="I402" s="13"/>
      <c r="J402" s="13"/>
      <c r="K402" s="13"/>
      <c r="L402" s="13"/>
      <c r="M402" s="13"/>
      <c r="N402" s="98"/>
      <c r="O402" s="98"/>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row>
    <row r="403">
      <c r="A403" s="13"/>
      <c r="B403" s="84"/>
      <c r="C403" s="13"/>
      <c r="D403" s="13"/>
      <c r="E403" s="13"/>
      <c r="F403" s="13"/>
      <c r="G403" s="13"/>
      <c r="H403" s="13"/>
      <c r="I403" s="13"/>
      <c r="J403" s="13"/>
      <c r="K403" s="13"/>
      <c r="L403" s="13"/>
      <c r="M403" s="13"/>
      <c r="N403" s="98"/>
      <c r="O403" s="98"/>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row>
    <row r="404">
      <c r="A404" s="13"/>
      <c r="B404" s="84"/>
      <c r="C404" s="13"/>
      <c r="D404" s="13"/>
      <c r="E404" s="13"/>
      <c r="F404" s="13"/>
      <c r="G404" s="13"/>
      <c r="H404" s="13"/>
      <c r="I404" s="13"/>
      <c r="J404" s="13"/>
      <c r="K404" s="13"/>
      <c r="L404" s="13"/>
      <c r="M404" s="13"/>
      <c r="N404" s="98"/>
      <c r="O404" s="98"/>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row>
    <row r="405">
      <c r="A405" s="13"/>
      <c r="B405" s="84"/>
      <c r="C405" s="13"/>
      <c r="D405" s="13"/>
      <c r="E405" s="13"/>
      <c r="F405" s="13"/>
      <c r="G405" s="13"/>
      <c r="H405" s="13"/>
      <c r="I405" s="13"/>
      <c r="J405" s="13"/>
      <c r="K405" s="13"/>
      <c r="L405" s="13"/>
      <c r="M405" s="13"/>
      <c r="N405" s="98"/>
      <c r="O405" s="98"/>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row>
    <row r="406">
      <c r="A406" s="13"/>
      <c r="B406" s="84"/>
      <c r="C406" s="13"/>
      <c r="D406" s="13"/>
      <c r="E406" s="13"/>
      <c r="F406" s="13"/>
      <c r="G406" s="13"/>
      <c r="H406" s="13"/>
      <c r="I406" s="13"/>
      <c r="J406" s="13"/>
      <c r="K406" s="13"/>
      <c r="L406" s="13"/>
      <c r="M406" s="13"/>
      <c r="N406" s="98"/>
      <c r="O406" s="98"/>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row>
    <row r="407">
      <c r="A407" s="13"/>
      <c r="B407" s="84"/>
      <c r="C407" s="13"/>
      <c r="D407" s="13"/>
      <c r="E407" s="13"/>
      <c r="F407" s="13"/>
      <c r="G407" s="13"/>
      <c r="H407" s="13"/>
      <c r="I407" s="13"/>
      <c r="J407" s="13"/>
      <c r="K407" s="13"/>
      <c r="L407" s="13"/>
      <c r="M407" s="13"/>
      <c r="N407" s="98"/>
      <c r="O407" s="98"/>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row>
    <row r="408">
      <c r="A408" s="13"/>
      <c r="B408" s="84"/>
      <c r="C408" s="13"/>
      <c r="D408" s="13"/>
      <c r="E408" s="13"/>
      <c r="F408" s="13"/>
      <c r="G408" s="13"/>
      <c r="H408" s="13"/>
      <c r="I408" s="13"/>
      <c r="J408" s="13"/>
      <c r="K408" s="13"/>
      <c r="L408" s="13"/>
      <c r="M408" s="13"/>
      <c r="N408" s="98"/>
      <c r="O408" s="98"/>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row>
    <row r="409">
      <c r="A409" s="13"/>
      <c r="B409" s="84"/>
      <c r="C409" s="13"/>
      <c r="D409" s="13"/>
      <c r="E409" s="13"/>
      <c r="F409" s="13"/>
      <c r="G409" s="13"/>
      <c r="H409" s="13"/>
      <c r="I409" s="13"/>
      <c r="J409" s="13"/>
      <c r="K409" s="13"/>
      <c r="L409" s="13"/>
      <c r="M409" s="13"/>
      <c r="N409" s="98"/>
      <c r="O409" s="98"/>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row>
    <row r="410">
      <c r="A410" s="13"/>
      <c r="B410" s="84"/>
      <c r="C410" s="13"/>
      <c r="D410" s="13"/>
      <c r="E410" s="13"/>
      <c r="F410" s="13"/>
      <c r="G410" s="13"/>
      <c r="H410" s="13"/>
      <c r="I410" s="13"/>
      <c r="J410" s="13"/>
      <c r="K410" s="13"/>
      <c r="L410" s="13"/>
      <c r="M410" s="13"/>
      <c r="N410" s="98"/>
      <c r="O410" s="98"/>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row>
    <row r="411">
      <c r="A411" s="13"/>
      <c r="B411" s="84"/>
      <c r="C411" s="13"/>
      <c r="D411" s="13"/>
      <c r="E411" s="13"/>
      <c r="F411" s="13"/>
      <c r="G411" s="13"/>
      <c r="H411" s="13"/>
      <c r="I411" s="13"/>
      <c r="J411" s="13"/>
      <c r="K411" s="13"/>
      <c r="L411" s="13"/>
      <c r="M411" s="13"/>
      <c r="N411" s="98"/>
      <c r="O411" s="98"/>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row>
    <row r="412">
      <c r="A412" s="13"/>
      <c r="B412" s="84"/>
      <c r="C412" s="13"/>
      <c r="D412" s="13"/>
      <c r="E412" s="13"/>
      <c r="F412" s="13"/>
      <c r="G412" s="13"/>
      <c r="H412" s="13"/>
      <c r="I412" s="13"/>
      <c r="J412" s="13"/>
      <c r="K412" s="13"/>
      <c r="L412" s="13"/>
      <c r="M412" s="13"/>
      <c r="N412" s="98"/>
      <c r="O412" s="98"/>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row>
    <row r="413">
      <c r="A413" s="13"/>
      <c r="B413" s="84"/>
      <c r="C413" s="13"/>
      <c r="D413" s="13"/>
      <c r="E413" s="13"/>
      <c r="F413" s="13"/>
      <c r="G413" s="13"/>
      <c r="H413" s="13"/>
      <c r="I413" s="13"/>
      <c r="J413" s="13"/>
      <c r="K413" s="13"/>
      <c r="L413" s="13"/>
      <c r="M413" s="13"/>
      <c r="N413" s="98"/>
      <c r="O413" s="98"/>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row>
    <row r="414">
      <c r="A414" s="13"/>
      <c r="B414" s="84"/>
      <c r="C414" s="13"/>
      <c r="D414" s="13"/>
      <c r="E414" s="13"/>
      <c r="F414" s="13"/>
      <c r="G414" s="13"/>
      <c r="H414" s="13"/>
      <c r="I414" s="13"/>
      <c r="J414" s="13"/>
      <c r="K414" s="13"/>
      <c r="L414" s="13"/>
      <c r="M414" s="13"/>
      <c r="N414" s="98"/>
      <c r="O414" s="98"/>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row>
    <row r="415">
      <c r="A415" s="13"/>
      <c r="B415" s="84"/>
      <c r="C415" s="13"/>
      <c r="D415" s="13"/>
      <c r="E415" s="13"/>
      <c r="F415" s="13"/>
      <c r="G415" s="13"/>
      <c r="H415" s="13"/>
      <c r="I415" s="13"/>
      <c r="J415" s="13"/>
      <c r="K415" s="13"/>
      <c r="L415" s="13"/>
      <c r="M415" s="13"/>
      <c r="N415" s="98"/>
      <c r="O415" s="98"/>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row>
    <row r="416">
      <c r="A416" s="13"/>
      <c r="B416" s="84"/>
      <c r="C416" s="13"/>
      <c r="D416" s="13"/>
      <c r="E416" s="13"/>
      <c r="F416" s="13"/>
      <c r="G416" s="13"/>
      <c r="H416" s="13"/>
      <c r="I416" s="13"/>
      <c r="J416" s="13"/>
      <c r="K416" s="13"/>
      <c r="L416" s="13"/>
      <c r="M416" s="13"/>
      <c r="N416" s="98"/>
      <c r="O416" s="98"/>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row>
    <row r="417">
      <c r="A417" s="13"/>
      <c r="B417" s="84"/>
      <c r="C417" s="13"/>
      <c r="D417" s="13"/>
      <c r="E417" s="13"/>
      <c r="F417" s="13"/>
      <c r="G417" s="13"/>
      <c r="H417" s="13"/>
      <c r="I417" s="13"/>
      <c r="J417" s="13"/>
      <c r="K417" s="13"/>
      <c r="L417" s="13"/>
      <c r="M417" s="13"/>
      <c r="N417" s="98"/>
      <c r="O417" s="98"/>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row>
    <row r="418">
      <c r="A418" s="13"/>
      <c r="B418" s="84"/>
      <c r="C418" s="13"/>
      <c r="D418" s="13"/>
      <c r="E418" s="13"/>
      <c r="F418" s="13"/>
      <c r="G418" s="13"/>
      <c r="H418" s="13"/>
      <c r="I418" s="13"/>
      <c r="J418" s="13"/>
      <c r="K418" s="13"/>
      <c r="L418" s="13"/>
      <c r="M418" s="13"/>
      <c r="N418" s="98"/>
      <c r="O418" s="98"/>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row>
    <row r="419">
      <c r="A419" s="13"/>
      <c r="B419" s="84"/>
      <c r="C419" s="13"/>
      <c r="D419" s="13"/>
      <c r="E419" s="13"/>
      <c r="F419" s="13"/>
      <c r="G419" s="13"/>
      <c r="H419" s="13"/>
      <c r="I419" s="13"/>
      <c r="J419" s="13"/>
      <c r="K419" s="13"/>
      <c r="L419" s="13"/>
      <c r="M419" s="13"/>
      <c r="N419" s="98"/>
      <c r="O419" s="98"/>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row>
    <row r="420">
      <c r="A420" s="13"/>
      <c r="B420" s="84"/>
      <c r="C420" s="13"/>
      <c r="D420" s="13"/>
      <c r="E420" s="13"/>
      <c r="F420" s="13"/>
      <c r="G420" s="13"/>
      <c r="H420" s="13"/>
      <c r="I420" s="13"/>
      <c r="J420" s="13"/>
      <c r="K420" s="13"/>
      <c r="L420" s="13"/>
      <c r="M420" s="13"/>
      <c r="N420" s="98"/>
      <c r="O420" s="98"/>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row>
    <row r="421">
      <c r="A421" s="13"/>
      <c r="B421" s="84"/>
      <c r="C421" s="13"/>
      <c r="D421" s="13"/>
      <c r="E421" s="13"/>
      <c r="F421" s="13"/>
      <c r="G421" s="13"/>
      <c r="H421" s="13"/>
      <c r="I421" s="13"/>
      <c r="J421" s="13"/>
      <c r="K421" s="13"/>
      <c r="L421" s="13"/>
      <c r="M421" s="13"/>
      <c r="N421" s="98"/>
      <c r="O421" s="98"/>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row>
    <row r="422">
      <c r="A422" s="13"/>
      <c r="B422" s="84"/>
      <c r="C422" s="13"/>
      <c r="D422" s="13"/>
      <c r="E422" s="13"/>
      <c r="F422" s="13"/>
      <c r="G422" s="13"/>
      <c r="H422" s="13"/>
      <c r="I422" s="13"/>
      <c r="J422" s="13"/>
      <c r="K422" s="13"/>
      <c r="L422" s="13"/>
      <c r="M422" s="13"/>
      <c r="N422" s="98"/>
      <c r="O422" s="98"/>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row>
    <row r="423">
      <c r="A423" s="13"/>
      <c r="B423" s="84"/>
      <c r="C423" s="13"/>
      <c r="D423" s="13"/>
      <c r="E423" s="13"/>
      <c r="F423" s="13"/>
      <c r="G423" s="13"/>
      <c r="H423" s="13"/>
      <c r="I423" s="13"/>
      <c r="J423" s="13"/>
      <c r="K423" s="13"/>
      <c r="L423" s="13"/>
      <c r="M423" s="13"/>
      <c r="N423" s="98"/>
      <c r="O423" s="98"/>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row>
    <row r="424">
      <c r="A424" s="13"/>
      <c r="B424" s="84"/>
      <c r="C424" s="13"/>
      <c r="D424" s="13"/>
      <c r="E424" s="13"/>
      <c r="F424" s="13"/>
      <c r="G424" s="13"/>
      <c r="H424" s="13"/>
      <c r="I424" s="13"/>
      <c r="J424" s="13"/>
      <c r="K424" s="13"/>
      <c r="L424" s="13"/>
      <c r="M424" s="13"/>
      <c r="N424" s="98"/>
      <c r="O424" s="98"/>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row>
    <row r="425">
      <c r="A425" s="13"/>
      <c r="B425" s="84"/>
      <c r="C425" s="13"/>
      <c r="D425" s="13"/>
      <c r="E425" s="13"/>
      <c r="F425" s="13"/>
      <c r="G425" s="13"/>
      <c r="H425" s="13"/>
      <c r="I425" s="13"/>
      <c r="J425" s="13"/>
      <c r="K425" s="13"/>
      <c r="L425" s="13"/>
      <c r="M425" s="13"/>
      <c r="N425" s="98"/>
      <c r="O425" s="98"/>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row>
    <row r="426">
      <c r="A426" s="13"/>
      <c r="B426" s="84"/>
      <c r="C426" s="13"/>
      <c r="D426" s="13"/>
      <c r="E426" s="13"/>
      <c r="F426" s="13"/>
      <c r="G426" s="13"/>
      <c r="H426" s="13"/>
      <c r="I426" s="13"/>
      <c r="J426" s="13"/>
      <c r="K426" s="13"/>
      <c r="L426" s="13"/>
      <c r="M426" s="13"/>
      <c r="N426" s="98"/>
      <c r="O426" s="98"/>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row>
    <row r="427">
      <c r="A427" s="13"/>
      <c r="B427" s="84"/>
      <c r="C427" s="13"/>
      <c r="D427" s="13"/>
      <c r="E427" s="13"/>
      <c r="F427" s="13"/>
      <c r="G427" s="13"/>
      <c r="H427" s="13"/>
      <c r="I427" s="13"/>
      <c r="J427" s="13"/>
      <c r="K427" s="13"/>
      <c r="L427" s="13"/>
      <c r="M427" s="13"/>
      <c r="N427" s="98"/>
      <c r="O427" s="98"/>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row>
    <row r="428">
      <c r="A428" s="13"/>
      <c r="B428" s="84"/>
      <c r="C428" s="13"/>
      <c r="D428" s="13"/>
      <c r="E428" s="13"/>
      <c r="F428" s="13"/>
      <c r="G428" s="13"/>
      <c r="H428" s="13"/>
      <c r="I428" s="13"/>
      <c r="J428" s="13"/>
      <c r="K428" s="13"/>
      <c r="L428" s="13"/>
      <c r="M428" s="13"/>
      <c r="N428" s="98"/>
      <c r="O428" s="98"/>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row>
    <row r="429">
      <c r="A429" s="13"/>
      <c r="B429" s="84"/>
      <c r="C429" s="13"/>
      <c r="D429" s="13"/>
      <c r="E429" s="13"/>
      <c r="F429" s="13"/>
      <c r="G429" s="13"/>
      <c r="H429" s="13"/>
      <c r="I429" s="13"/>
      <c r="J429" s="13"/>
      <c r="K429" s="13"/>
      <c r="L429" s="13"/>
      <c r="M429" s="13"/>
      <c r="N429" s="98"/>
      <c r="O429" s="98"/>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row>
    <row r="430">
      <c r="A430" s="13"/>
      <c r="B430" s="84"/>
      <c r="C430" s="13"/>
      <c r="D430" s="13"/>
      <c r="E430" s="13"/>
      <c r="F430" s="13"/>
      <c r="G430" s="13"/>
      <c r="H430" s="13"/>
      <c r="I430" s="13"/>
      <c r="J430" s="13"/>
      <c r="K430" s="13"/>
      <c r="L430" s="13"/>
      <c r="M430" s="13"/>
      <c r="N430" s="98"/>
      <c r="O430" s="98"/>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row>
    <row r="431">
      <c r="A431" s="13"/>
      <c r="B431" s="84"/>
      <c r="C431" s="13"/>
      <c r="D431" s="13"/>
      <c r="E431" s="13"/>
      <c r="F431" s="13"/>
      <c r="G431" s="13"/>
      <c r="H431" s="13"/>
      <c r="I431" s="13"/>
      <c r="J431" s="13"/>
      <c r="K431" s="13"/>
      <c r="L431" s="13"/>
      <c r="M431" s="13"/>
      <c r="N431" s="98"/>
      <c r="O431" s="98"/>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row>
    <row r="432">
      <c r="A432" s="13"/>
      <c r="B432" s="84"/>
      <c r="C432" s="13"/>
      <c r="D432" s="13"/>
      <c r="E432" s="13"/>
      <c r="F432" s="13"/>
      <c r="G432" s="13"/>
      <c r="H432" s="13"/>
      <c r="I432" s="13"/>
      <c r="J432" s="13"/>
      <c r="K432" s="13"/>
      <c r="L432" s="13"/>
      <c r="M432" s="13"/>
      <c r="N432" s="98"/>
      <c r="O432" s="98"/>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row>
    <row r="433">
      <c r="A433" s="13"/>
      <c r="B433" s="84"/>
      <c r="C433" s="13"/>
      <c r="D433" s="13"/>
      <c r="E433" s="13"/>
      <c r="F433" s="13"/>
      <c r="G433" s="13"/>
      <c r="H433" s="13"/>
      <c r="I433" s="13"/>
      <c r="J433" s="13"/>
      <c r="K433" s="13"/>
      <c r="L433" s="13"/>
      <c r="M433" s="13"/>
      <c r="N433" s="98"/>
      <c r="O433" s="98"/>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row>
    <row r="434">
      <c r="A434" s="13"/>
      <c r="B434" s="84"/>
      <c r="C434" s="13"/>
      <c r="D434" s="13"/>
      <c r="E434" s="13"/>
      <c r="F434" s="13"/>
      <c r="G434" s="13"/>
      <c r="H434" s="13"/>
      <c r="I434" s="13"/>
      <c r="J434" s="13"/>
      <c r="K434" s="13"/>
      <c r="L434" s="13"/>
      <c r="M434" s="13"/>
      <c r="N434" s="98"/>
      <c r="O434" s="98"/>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row>
    <row r="435">
      <c r="A435" s="13"/>
      <c r="B435" s="84"/>
      <c r="C435" s="13"/>
      <c r="D435" s="13"/>
      <c r="E435" s="13"/>
      <c r="F435" s="13"/>
      <c r="G435" s="13"/>
      <c r="H435" s="13"/>
      <c r="I435" s="13"/>
      <c r="J435" s="13"/>
      <c r="K435" s="13"/>
      <c r="L435" s="13"/>
      <c r="M435" s="13"/>
      <c r="N435" s="98"/>
      <c r="O435" s="98"/>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row>
    <row r="436">
      <c r="A436" s="13"/>
      <c r="B436" s="84"/>
      <c r="C436" s="13"/>
      <c r="D436" s="13"/>
      <c r="E436" s="13"/>
      <c r="F436" s="13"/>
      <c r="G436" s="13"/>
      <c r="H436" s="13"/>
      <c r="I436" s="13"/>
      <c r="J436" s="13"/>
      <c r="K436" s="13"/>
      <c r="L436" s="13"/>
      <c r="M436" s="13"/>
      <c r="N436" s="98"/>
      <c r="O436" s="98"/>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row>
    <row r="437">
      <c r="A437" s="13"/>
      <c r="B437" s="84"/>
      <c r="C437" s="13"/>
      <c r="D437" s="13"/>
      <c r="E437" s="13"/>
      <c r="F437" s="13"/>
      <c r="G437" s="13"/>
      <c r="H437" s="13"/>
      <c r="I437" s="13"/>
      <c r="J437" s="13"/>
      <c r="K437" s="13"/>
      <c r="L437" s="13"/>
      <c r="M437" s="13"/>
      <c r="N437" s="98"/>
      <c r="O437" s="98"/>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row>
    <row r="438">
      <c r="A438" s="13"/>
      <c r="B438" s="84"/>
      <c r="C438" s="13"/>
      <c r="D438" s="13"/>
      <c r="E438" s="13"/>
      <c r="F438" s="13"/>
      <c r="G438" s="13"/>
      <c r="H438" s="13"/>
      <c r="I438" s="13"/>
      <c r="J438" s="13"/>
      <c r="K438" s="13"/>
      <c r="L438" s="13"/>
      <c r="M438" s="13"/>
      <c r="N438" s="98"/>
      <c r="O438" s="98"/>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row>
    <row r="439">
      <c r="A439" s="13"/>
      <c r="B439" s="84"/>
      <c r="C439" s="13"/>
      <c r="D439" s="13"/>
      <c r="E439" s="13"/>
      <c r="F439" s="13"/>
      <c r="G439" s="13"/>
      <c r="H439" s="13"/>
      <c r="I439" s="13"/>
      <c r="J439" s="13"/>
      <c r="K439" s="13"/>
      <c r="L439" s="13"/>
      <c r="M439" s="13"/>
      <c r="N439" s="98"/>
      <c r="O439" s="98"/>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row>
    <row r="440">
      <c r="A440" s="13"/>
      <c r="B440" s="84"/>
      <c r="C440" s="13"/>
      <c r="D440" s="13"/>
      <c r="E440" s="13"/>
      <c r="F440" s="13"/>
      <c r="G440" s="13"/>
      <c r="H440" s="13"/>
      <c r="I440" s="13"/>
      <c r="J440" s="13"/>
      <c r="K440" s="13"/>
      <c r="L440" s="13"/>
      <c r="M440" s="13"/>
      <c r="N440" s="98"/>
      <c r="O440" s="98"/>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row>
    <row r="441">
      <c r="A441" s="13"/>
      <c r="B441" s="84"/>
      <c r="C441" s="13"/>
      <c r="D441" s="13"/>
      <c r="E441" s="13"/>
      <c r="F441" s="13"/>
      <c r="G441" s="13"/>
      <c r="H441" s="13"/>
      <c r="I441" s="13"/>
      <c r="J441" s="13"/>
      <c r="K441" s="13"/>
      <c r="L441" s="13"/>
      <c r="M441" s="13"/>
      <c r="N441" s="98"/>
      <c r="O441" s="98"/>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row>
    <row r="442">
      <c r="A442" s="13"/>
      <c r="B442" s="84"/>
      <c r="C442" s="13"/>
      <c r="D442" s="13"/>
      <c r="E442" s="13"/>
      <c r="F442" s="13"/>
      <c r="G442" s="13"/>
      <c r="H442" s="13"/>
      <c r="I442" s="13"/>
      <c r="J442" s="13"/>
      <c r="K442" s="13"/>
      <c r="L442" s="13"/>
      <c r="M442" s="13"/>
      <c r="N442" s="98"/>
      <c r="O442" s="98"/>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row>
    <row r="443">
      <c r="A443" s="13"/>
      <c r="B443" s="84"/>
      <c r="C443" s="13"/>
      <c r="D443" s="13"/>
      <c r="E443" s="13"/>
      <c r="F443" s="13"/>
      <c r="G443" s="13"/>
      <c r="H443" s="13"/>
      <c r="I443" s="13"/>
      <c r="J443" s="13"/>
      <c r="K443" s="13"/>
      <c r="L443" s="13"/>
      <c r="M443" s="13"/>
      <c r="N443" s="98"/>
      <c r="O443" s="98"/>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row>
    <row r="444">
      <c r="A444" s="13"/>
      <c r="B444" s="84"/>
      <c r="C444" s="13"/>
      <c r="D444" s="13"/>
      <c r="E444" s="13"/>
      <c r="F444" s="13"/>
      <c r="G444" s="13"/>
      <c r="H444" s="13"/>
      <c r="I444" s="13"/>
      <c r="J444" s="13"/>
      <c r="K444" s="13"/>
      <c r="L444" s="13"/>
      <c r="M444" s="13"/>
      <c r="N444" s="98"/>
      <c r="O444" s="98"/>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row>
    <row r="445">
      <c r="A445" s="13"/>
      <c r="B445" s="84"/>
      <c r="C445" s="13"/>
      <c r="D445" s="13"/>
      <c r="E445" s="13"/>
      <c r="F445" s="13"/>
      <c r="G445" s="13"/>
      <c r="H445" s="13"/>
      <c r="I445" s="13"/>
      <c r="J445" s="13"/>
      <c r="K445" s="13"/>
      <c r="L445" s="13"/>
      <c r="M445" s="13"/>
      <c r="N445" s="98"/>
      <c r="O445" s="98"/>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row>
    <row r="446">
      <c r="A446" s="13"/>
      <c r="B446" s="84"/>
      <c r="C446" s="13"/>
      <c r="D446" s="13"/>
      <c r="E446" s="13"/>
      <c r="F446" s="13"/>
      <c r="G446" s="13"/>
      <c r="H446" s="13"/>
      <c r="I446" s="13"/>
      <c r="J446" s="13"/>
      <c r="K446" s="13"/>
      <c r="L446" s="13"/>
      <c r="M446" s="13"/>
      <c r="N446" s="98"/>
      <c r="O446" s="98"/>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row>
    <row r="447">
      <c r="A447" s="13"/>
      <c r="B447" s="84"/>
      <c r="C447" s="13"/>
      <c r="D447" s="13"/>
      <c r="E447" s="13"/>
      <c r="F447" s="13"/>
      <c r="G447" s="13"/>
      <c r="H447" s="13"/>
      <c r="I447" s="13"/>
      <c r="J447" s="13"/>
      <c r="K447" s="13"/>
      <c r="L447" s="13"/>
      <c r="M447" s="13"/>
      <c r="N447" s="98"/>
      <c r="O447" s="98"/>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row>
    <row r="448">
      <c r="A448" s="13"/>
      <c r="B448" s="84"/>
      <c r="C448" s="13"/>
      <c r="D448" s="13"/>
      <c r="E448" s="13"/>
      <c r="F448" s="13"/>
      <c r="G448" s="13"/>
      <c r="H448" s="13"/>
      <c r="I448" s="13"/>
      <c r="J448" s="13"/>
      <c r="K448" s="13"/>
      <c r="L448" s="13"/>
      <c r="M448" s="13"/>
      <c r="N448" s="98"/>
      <c r="O448" s="98"/>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row>
    <row r="449">
      <c r="A449" s="13"/>
      <c r="B449" s="84"/>
      <c r="C449" s="13"/>
      <c r="D449" s="13"/>
      <c r="E449" s="13"/>
      <c r="F449" s="13"/>
      <c r="G449" s="13"/>
      <c r="H449" s="13"/>
      <c r="I449" s="13"/>
      <c r="J449" s="13"/>
      <c r="K449" s="13"/>
      <c r="L449" s="13"/>
      <c r="M449" s="13"/>
      <c r="N449" s="98"/>
      <c r="O449" s="98"/>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row>
    <row r="450">
      <c r="A450" s="13"/>
      <c r="B450" s="84"/>
      <c r="C450" s="13"/>
      <c r="D450" s="13"/>
      <c r="E450" s="13"/>
      <c r="F450" s="13"/>
      <c r="G450" s="13"/>
      <c r="H450" s="13"/>
      <c r="I450" s="13"/>
      <c r="J450" s="13"/>
      <c r="K450" s="13"/>
      <c r="L450" s="13"/>
      <c r="M450" s="13"/>
      <c r="N450" s="98"/>
      <c r="O450" s="98"/>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row>
    <row r="451">
      <c r="A451" s="13"/>
      <c r="B451" s="84"/>
      <c r="C451" s="13"/>
      <c r="D451" s="13"/>
      <c r="E451" s="13"/>
      <c r="F451" s="13"/>
      <c r="G451" s="13"/>
      <c r="H451" s="13"/>
      <c r="I451" s="13"/>
      <c r="J451" s="13"/>
      <c r="K451" s="13"/>
      <c r="L451" s="13"/>
      <c r="M451" s="13"/>
      <c r="N451" s="98"/>
      <c r="O451" s="98"/>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row>
    <row r="452">
      <c r="A452" s="13"/>
      <c r="B452" s="84"/>
      <c r="C452" s="13"/>
      <c r="D452" s="13"/>
      <c r="E452" s="13"/>
      <c r="F452" s="13"/>
      <c r="G452" s="13"/>
      <c r="H452" s="13"/>
      <c r="I452" s="13"/>
      <c r="J452" s="13"/>
      <c r="K452" s="13"/>
      <c r="L452" s="13"/>
      <c r="M452" s="13"/>
      <c r="N452" s="98"/>
      <c r="O452" s="98"/>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row>
    <row r="453">
      <c r="A453" s="13"/>
      <c r="B453" s="84"/>
      <c r="C453" s="13"/>
      <c r="D453" s="13"/>
      <c r="E453" s="13"/>
      <c r="F453" s="13"/>
      <c r="G453" s="13"/>
      <c r="H453" s="13"/>
      <c r="I453" s="13"/>
      <c r="J453" s="13"/>
      <c r="K453" s="13"/>
      <c r="L453" s="13"/>
      <c r="M453" s="13"/>
      <c r="N453" s="98"/>
      <c r="O453" s="98"/>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row>
    <row r="454">
      <c r="A454" s="13"/>
      <c r="B454" s="84"/>
      <c r="C454" s="13"/>
      <c r="D454" s="13"/>
      <c r="E454" s="13"/>
      <c r="F454" s="13"/>
      <c r="G454" s="13"/>
      <c r="H454" s="13"/>
      <c r="I454" s="13"/>
      <c r="J454" s="13"/>
      <c r="K454" s="13"/>
      <c r="L454" s="13"/>
      <c r="M454" s="13"/>
      <c r="N454" s="98"/>
      <c r="O454" s="98"/>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row>
    <row r="455">
      <c r="A455" s="13"/>
      <c r="B455" s="84"/>
      <c r="C455" s="13"/>
      <c r="D455" s="13"/>
      <c r="E455" s="13"/>
      <c r="F455" s="13"/>
      <c r="G455" s="13"/>
      <c r="H455" s="13"/>
      <c r="I455" s="13"/>
      <c r="J455" s="13"/>
      <c r="K455" s="13"/>
      <c r="L455" s="13"/>
      <c r="M455" s="13"/>
      <c r="N455" s="98"/>
      <c r="O455" s="98"/>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row>
    <row r="456">
      <c r="A456" s="13"/>
      <c r="B456" s="84"/>
      <c r="C456" s="13"/>
      <c r="D456" s="13"/>
      <c r="E456" s="13"/>
      <c r="F456" s="13"/>
      <c r="G456" s="13"/>
      <c r="H456" s="13"/>
      <c r="I456" s="13"/>
      <c r="J456" s="13"/>
      <c r="K456" s="13"/>
      <c r="L456" s="13"/>
      <c r="M456" s="13"/>
      <c r="N456" s="98"/>
      <c r="O456" s="98"/>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row>
    <row r="457">
      <c r="A457" s="13"/>
      <c r="B457" s="84"/>
      <c r="C457" s="13"/>
      <c r="D457" s="13"/>
      <c r="E457" s="13"/>
      <c r="F457" s="13"/>
      <c r="G457" s="13"/>
      <c r="H457" s="13"/>
      <c r="I457" s="13"/>
      <c r="J457" s="13"/>
      <c r="K457" s="13"/>
      <c r="L457" s="13"/>
      <c r="M457" s="13"/>
      <c r="N457" s="98"/>
      <c r="O457" s="98"/>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row>
    <row r="458">
      <c r="A458" s="13"/>
      <c r="B458" s="84"/>
      <c r="C458" s="13"/>
      <c r="D458" s="13"/>
      <c r="E458" s="13"/>
      <c r="F458" s="13"/>
      <c r="G458" s="13"/>
      <c r="H458" s="13"/>
      <c r="I458" s="13"/>
      <c r="J458" s="13"/>
      <c r="K458" s="13"/>
      <c r="L458" s="13"/>
      <c r="M458" s="13"/>
      <c r="N458" s="98"/>
      <c r="O458" s="98"/>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row>
    <row r="459">
      <c r="A459" s="13"/>
      <c r="B459" s="84"/>
      <c r="C459" s="13"/>
      <c r="D459" s="13"/>
      <c r="E459" s="13"/>
      <c r="F459" s="13"/>
      <c r="G459" s="13"/>
      <c r="H459" s="13"/>
      <c r="I459" s="13"/>
      <c r="J459" s="13"/>
      <c r="K459" s="13"/>
      <c r="L459" s="13"/>
      <c r="M459" s="13"/>
      <c r="N459" s="98"/>
      <c r="O459" s="98"/>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row>
    <row r="460">
      <c r="A460" s="13"/>
      <c r="B460" s="84"/>
      <c r="C460" s="13"/>
      <c r="D460" s="13"/>
      <c r="E460" s="13"/>
      <c r="F460" s="13"/>
      <c r="G460" s="13"/>
      <c r="H460" s="13"/>
      <c r="I460" s="13"/>
      <c r="J460" s="13"/>
      <c r="K460" s="13"/>
      <c r="L460" s="13"/>
      <c r="M460" s="13"/>
      <c r="N460" s="98"/>
      <c r="O460" s="98"/>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row>
    <row r="461">
      <c r="A461" s="13"/>
      <c r="B461" s="84"/>
      <c r="C461" s="13"/>
      <c r="D461" s="13"/>
      <c r="E461" s="13"/>
      <c r="F461" s="13"/>
      <c r="G461" s="13"/>
      <c r="H461" s="13"/>
      <c r="I461" s="13"/>
      <c r="J461" s="13"/>
      <c r="K461" s="13"/>
      <c r="L461" s="13"/>
      <c r="M461" s="13"/>
      <c r="N461" s="98"/>
      <c r="O461" s="98"/>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row>
    <row r="462">
      <c r="A462" s="13"/>
      <c r="B462" s="84"/>
      <c r="C462" s="13"/>
      <c r="D462" s="13"/>
      <c r="E462" s="13"/>
      <c r="F462" s="13"/>
      <c r="G462" s="13"/>
      <c r="H462" s="13"/>
      <c r="I462" s="13"/>
      <c r="J462" s="13"/>
      <c r="K462" s="13"/>
      <c r="L462" s="13"/>
      <c r="M462" s="13"/>
      <c r="N462" s="98"/>
      <c r="O462" s="98"/>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row>
    <row r="463">
      <c r="A463" s="13"/>
      <c r="B463" s="84"/>
      <c r="C463" s="13"/>
      <c r="D463" s="13"/>
      <c r="E463" s="13"/>
      <c r="F463" s="13"/>
      <c r="G463" s="13"/>
      <c r="H463" s="13"/>
      <c r="I463" s="13"/>
      <c r="J463" s="13"/>
      <c r="K463" s="13"/>
      <c r="L463" s="13"/>
      <c r="M463" s="13"/>
      <c r="N463" s="98"/>
      <c r="O463" s="98"/>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row>
    <row r="464">
      <c r="A464" s="13"/>
      <c r="B464" s="84"/>
      <c r="C464" s="13"/>
      <c r="D464" s="13"/>
      <c r="E464" s="13"/>
      <c r="F464" s="13"/>
      <c r="G464" s="13"/>
      <c r="H464" s="13"/>
      <c r="I464" s="13"/>
      <c r="J464" s="13"/>
      <c r="K464" s="13"/>
      <c r="L464" s="13"/>
      <c r="M464" s="13"/>
      <c r="N464" s="98"/>
      <c r="O464" s="98"/>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row>
    <row r="465">
      <c r="A465" s="13"/>
      <c r="B465" s="84"/>
      <c r="C465" s="13"/>
      <c r="D465" s="13"/>
      <c r="E465" s="13"/>
      <c r="F465" s="13"/>
      <c r="G465" s="13"/>
      <c r="H465" s="13"/>
      <c r="I465" s="13"/>
      <c r="J465" s="13"/>
      <c r="K465" s="13"/>
      <c r="L465" s="13"/>
      <c r="M465" s="13"/>
      <c r="N465" s="98"/>
      <c r="O465" s="98"/>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row>
    <row r="466">
      <c r="A466" s="13"/>
      <c r="B466" s="84"/>
      <c r="C466" s="13"/>
      <c r="D466" s="13"/>
      <c r="E466" s="13"/>
      <c r="F466" s="13"/>
      <c r="G466" s="13"/>
      <c r="H466" s="13"/>
      <c r="I466" s="13"/>
      <c r="J466" s="13"/>
      <c r="K466" s="13"/>
      <c r="L466" s="13"/>
      <c r="M466" s="13"/>
      <c r="N466" s="98"/>
      <c r="O466" s="98"/>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row>
    <row r="467">
      <c r="A467" s="13"/>
      <c r="B467" s="84"/>
      <c r="C467" s="13"/>
      <c r="D467" s="13"/>
      <c r="E467" s="13"/>
      <c r="F467" s="13"/>
      <c r="G467" s="13"/>
      <c r="H467" s="13"/>
      <c r="I467" s="13"/>
      <c r="J467" s="13"/>
      <c r="K467" s="13"/>
      <c r="L467" s="13"/>
      <c r="M467" s="13"/>
      <c r="N467" s="98"/>
      <c r="O467" s="98"/>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row>
    <row r="468">
      <c r="A468" s="13"/>
      <c r="B468" s="84"/>
      <c r="C468" s="13"/>
      <c r="D468" s="13"/>
      <c r="E468" s="13"/>
      <c r="F468" s="13"/>
      <c r="G468" s="13"/>
      <c r="H468" s="13"/>
      <c r="I468" s="13"/>
      <c r="J468" s="13"/>
      <c r="K468" s="13"/>
      <c r="L468" s="13"/>
      <c r="M468" s="13"/>
      <c r="N468" s="98"/>
      <c r="O468" s="98"/>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row>
    <row r="469">
      <c r="A469" s="13"/>
      <c r="B469" s="84"/>
      <c r="C469" s="13"/>
      <c r="D469" s="13"/>
      <c r="E469" s="13"/>
      <c r="F469" s="13"/>
      <c r="G469" s="13"/>
      <c r="H469" s="13"/>
      <c r="I469" s="13"/>
      <c r="J469" s="13"/>
      <c r="K469" s="13"/>
      <c r="L469" s="13"/>
      <c r="M469" s="13"/>
      <c r="N469" s="98"/>
      <c r="O469" s="98"/>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row>
    <row r="470">
      <c r="A470" s="13"/>
      <c r="B470" s="84"/>
      <c r="C470" s="13"/>
      <c r="D470" s="13"/>
      <c r="E470" s="13"/>
      <c r="F470" s="13"/>
      <c r="G470" s="13"/>
      <c r="H470" s="13"/>
      <c r="I470" s="13"/>
      <c r="J470" s="13"/>
      <c r="K470" s="13"/>
      <c r="L470" s="13"/>
      <c r="M470" s="13"/>
      <c r="N470" s="98"/>
      <c r="O470" s="98"/>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row>
    <row r="471">
      <c r="A471" s="13"/>
      <c r="B471" s="84"/>
      <c r="C471" s="13"/>
      <c r="D471" s="13"/>
      <c r="E471" s="13"/>
      <c r="F471" s="13"/>
      <c r="G471" s="13"/>
      <c r="H471" s="13"/>
      <c r="I471" s="13"/>
      <c r="J471" s="13"/>
      <c r="K471" s="13"/>
      <c r="L471" s="13"/>
      <c r="M471" s="13"/>
      <c r="N471" s="98"/>
      <c r="O471" s="98"/>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row>
    <row r="472">
      <c r="A472" s="13"/>
      <c r="B472" s="84"/>
      <c r="C472" s="13"/>
      <c r="D472" s="13"/>
      <c r="E472" s="13"/>
      <c r="F472" s="13"/>
      <c r="G472" s="13"/>
      <c r="H472" s="13"/>
      <c r="I472" s="13"/>
      <c r="J472" s="13"/>
      <c r="K472" s="13"/>
      <c r="L472" s="13"/>
      <c r="M472" s="13"/>
      <c r="N472" s="98"/>
      <c r="O472" s="98"/>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row>
    <row r="473">
      <c r="A473" s="13"/>
      <c r="B473" s="84"/>
      <c r="C473" s="13"/>
      <c r="D473" s="13"/>
      <c r="E473" s="13"/>
      <c r="F473" s="13"/>
      <c r="G473" s="13"/>
      <c r="H473" s="13"/>
      <c r="I473" s="13"/>
      <c r="J473" s="13"/>
      <c r="K473" s="13"/>
      <c r="L473" s="13"/>
      <c r="M473" s="13"/>
      <c r="N473" s="98"/>
      <c r="O473" s="98"/>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row>
    <row r="474">
      <c r="A474" s="13"/>
      <c r="B474" s="84"/>
      <c r="C474" s="13"/>
      <c r="D474" s="13"/>
      <c r="E474" s="13"/>
      <c r="F474" s="13"/>
      <c r="G474" s="13"/>
      <c r="H474" s="13"/>
      <c r="I474" s="13"/>
      <c r="J474" s="13"/>
      <c r="K474" s="13"/>
      <c r="L474" s="13"/>
      <c r="M474" s="13"/>
      <c r="N474" s="98"/>
      <c r="O474" s="98"/>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row>
    <row r="475">
      <c r="A475" s="13"/>
      <c r="B475" s="84"/>
      <c r="C475" s="13"/>
      <c r="D475" s="13"/>
      <c r="E475" s="13"/>
      <c r="F475" s="13"/>
      <c r="G475" s="13"/>
      <c r="H475" s="13"/>
      <c r="I475" s="13"/>
      <c r="J475" s="13"/>
      <c r="K475" s="13"/>
      <c r="L475" s="13"/>
      <c r="M475" s="13"/>
      <c r="N475" s="98"/>
      <c r="O475" s="98"/>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row>
    <row r="476">
      <c r="A476" s="13"/>
      <c r="B476" s="84"/>
      <c r="C476" s="13"/>
      <c r="D476" s="13"/>
      <c r="E476" s="13"/>
      <c r="F476" s="13"/>
      <c r="G476" s="13"/>
      <c r="H476" s="13"/>
      <c r="I476" s="13"/>
      <c r="J476" s="13"/>
      <c r="K476" s="13"/>
      <c r="L476" s="13"/>
      <c r="M476" s="13"/>
      <c r="N476" s="98"/>
      <c r="O476" s="98"/>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row>
    <row r="477">
      <c r="A477" s="13"/>
      <c r="B477" s="84"/>
      <c r="C477" s="13"/>
      <c r="D477" s="13"/>
      <c r="E477" s="13"/>
      <c r="F477" s="13"/>
      <c r="G477" s="13"/>
      <c r="H477" s="13"/>
      <c r="I477" s="13"/>
      <c r="J477" s="13"/>
      <c r="K477" s="13"/>
      <c r="L477" s="13"/>
      <c r="M477" s="13"/>
      <c r="N477" s="98"/>
      <c r="O477" s="98"/>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row>
    <row r="478">
      <c r="A478" s="13"/>
      <c r="B478" s="84"/>
      <c r="C478" s="13"/>
      <c r="D478" s="13"/>
      <c r="E478" s="13"/>
      <c r="F478" s="13"/>
      <c r="G478" s="13"/>
      <c r="H478" s="13"/>
      <c r="I478" s="13"/>
      <c r="J478" s="13"/>
      <c r="K478" s="13"/>
      <c r="L478" s="13"/>
      <c r="M478" s="13"/>
      <c r="N478" s="98"/>
      <c r="O478" s="98"/>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row>
    <row r="479">
      <c r="A479" s="13"/>
      <c r="B479" s="84"/>
      <c r="C479" s="13"/>
      <c r="D479" s="13"/>
      <c r="E479" s="13"/>
      <c r="F479" s="13"/>
      <c r="G479" s="13"/>
      <c r="H479" s="13"/>
      <c r="I479" s="13"/>
      <c r="J479" s="13"/>
      <c r="K479" s="13"/>
      <c r="L479" s="13"/>
      <c r="M479" s="13"/>
      <c r="N479" s="98"/>
      <c r="O479" s="98"/>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row>
    <row r="480">
      <c r="A480" s="13"/>
      <c r="B480" s="84"/>
      <c r="C480" s="13"/>
      <c r="D480" s="13"/>
      <c r="E480" s="13"/>
      <c r="F480" s="13"/>
      <c r="G480" s="13"/>
      <c r="H480" s="13"/>
      <c r="I480" s="13"/>
      <c r="J480" s="13"/>
      <c r="K480" s="13"/>
      <c r="L480" s="13"/>
      <c r="M480" s="13"/>
      <c r="N480" s="98"/>
      <c r="O480" s="98"/>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row>
    <row r="481">
      <c r="A481" s="13"/>
      <c r="B481" s="84"/>
      <c r="C481" s="13"/>
      <c r="D481" s="13"/>
      <c r="E481" s="13"/>
      <c r="F481" s="13"/>
      <c r="G481" s="13"/>
      <c r="H481" s="13"/>
      <c r="I481" s="13"/>
      <c r="J481" s="13"/>
      <c r="K481" s="13"/>
      <c r="L481" s="13"/>
      <c r="M481" s="13"/>
      <c r="N481" s="98"/>
      <c r="O481" s="98"/>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row>
    <row r="482">
      <c r="A482" s="13"/>
      <c r="B482" s="84"/>
      <c r="C482" s="13"/>
      <c r="D482" s="13"/>
      <c r="E482" s="13"/>
      <c r="F482" s="13"/>
      <c r="G482" s="13"/>
      <c r="H482" s="13"/>
      <c r="I482" s="13"/>
      <c r="J482" s="13"/>
      <c r="K482" s="13"/>
      <c r="L482" s="13"/>
      <c r="M482" s="13"/>
      <c r="N482" s="98"/>
      <c r="O482" s="98"/>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row>
    <row r="483">
      <c r="A483" s="13"/>
      <c r="B483" s="84"/>
      <c r="C483" s="13"/>
      <c r="D483" s="13"/>
      <c r="E483" s="13"/>
      <c r="F483" s="13"/>
      <c r="G483" s="13"/>
      <c r="H483" s="13"/>
      <c r="I483" s="13"/>
      <c r="J483" s="13"/>
      <c r="K483" s="13"/>
      <c r="L483" s="13"/>
      <c r="M483" s="13"/>
      <c r="N483" s="98"/>
      <c r="O483" s="98"/>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row>
    <row r="484">
      <c r="A484" s="13"/>
      <c r="B484" s="84"/>
      <c r="C484" s="13"/>
      <c r="D484" s="13"/>
      <c r="E484" s="13"/>
      <c r="F484" s="13"/>
      <c r="G484" s="13"/>
      <c r="H484" s="13"/>
      <c r="I484" s="13"/>
      <c r="J484" s="13"/>
      <c r="K484" s="13"/>
      <c r="L484" s="13"/>
      <c r="M484" s="13"/>
      <c r="N484" s="98"/>
      <c r="O484" s="98"/>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row>
    <row r="485">
      <c r="A485" s="13"/>
      <c r="B485" s="84"/>
      <c r="C485" s="13"/>
      <c r="D485" s="13"/>
      <c r="E485" s="13"/>
      <c r="F485" s="13"/>
      <c r="G485" s="13"/>
      <c r="H485" s="13"/>
      <c r="I485" s="13"/>
      <c r="J485" s="13"/>
      <c r="K485" s="13"/>
      <c r="L485" s="13"/>
      <c r="M485" s="13"/>
      <c r="N485" s="98"/>
      <c r="O485" s="98"/>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row>
    <row r="486">
      <c r="A486" s="13"/>
      <c r="B486" s="84"/>
      <c r="C486" s="13"/>
      <c r="D486" s="13"/>
      <c r="E486" s="13"/>
      <c r="F486" s="13"/>
      <c r="G486" s="13"/>
      <c r="H486" s="13"/>
      <c r="I486" s="13"/>
      <c r="J486" s="13"/>
      <c r="K486" s="13"/>
      <c r="L486" s="13"/>
      <c r="M486" s="13"/>
      <c r="N486" s="98"/>
      <c r="O486" s="98"/>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row>
    <row r="487">
      <c r="A487" s="13"/>
      <c r="B487" s="84"/>
      <c r="C487" s="13"/>
      <c r="D487" s="13"/>
      <c r="E487" s="13"/>
      <c r="F487" s="13"/>
      <c r="G487" s="13"/>
      <c r="H487" s="13"/>
      <c r="I487" s="13"/>
      <c r="J487" s="13"/>
      <c r="K487" s="13"/>
      <c r="L487" s="13"/>
      <c r="M487" s="13"/>
      <c r="N487" s="98"/>
      <c r="O487" s="98"/>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row>
    <row r="488">
      <c r="A488" s="13"/>
      <c r="B488" s="84"/>
      <c r="C488" s="13"/>
      <c r="D488" s="13"/>
      <c r="E488" s="13"/>
      <c r="F488" s="13"/>
      <c r="G488" s="13"/>
      <c r="H488" s="13"/>
      <c r="I488" s="13"/>
      <c r="J488" s="13"/>
      <c r="K488" s="13"/>
      <c r="L488" s="13"/>
      <c r="M488" s="13"/>
      <c r="N488" s="98"/>
      <c r="O488" s="98"/>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row>
    <row r="489">
      <c r="A489" s="13"/>
      <c r="B489" s="84"/>
      <c r="C489" s="13"/>
      <c r="D489" s="13"/>
      <c r="E489" s="13"/>
      <c r="F489" s="13"/>
      <c r="G489" s="13"/>
      <c r="H489" s="13"/>
      <c r="I489" s="13"/>
      <c r="J489" s="13"/>
      <c r="K489" s="13"/>
      <c r="L489" s="13"/>
      <c r="M489" s="13"/>
      <c r="N489" s="98"/>
      <c r="O489" s="98"/>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row>
    <row r="490">
      <c r="A490" s="13"/>
      <c r="B490" s="84"/>
      <c r="C490" s="13"/>
      <c r="D490" s="13"/>
      <c r="E490" s="13"/>
      <c r="F490" s="13"/>
      <c r="G490" s="13"/>
      <c r="H490" s="13"/>
      <c r="I490" s="13"/>
      <c r="J490" s="13"/>
      <c r="K490" s="13"/>
      <c r="L490" s="13"/>
      <c r="M490" s="13"/>
      <c r="N490" s="98"/>
      <c r="O490" s="98"/>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row>
    <row r="491">
      <c r="A491" s="13"/>
      <c r="B491" s="84"/>
      <c r="C491" s="13"/>
      <c r="D491" s="13"/>
      <c r="E491" s="13"/>
      <c r="F491" s="13"/>
      <c r="G491" s="13"/>
      <c r="H491" s="13"/>
      <c r="I491" s="13"/>
      <c r="J491" s="13"/>
      <c r="K491" s="13"/>
      <c r="L491" s="13"/>
      <c r="M491" s="13"/>
      <c r="N491" s="98"/>
      <c r="O491" s="98"/>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row>
    <row r="492">
      <c r="A492" s="13"/>
      <c r="B492" s="84"/>
      <c r="C492" s="13"/>
      <c r="D492" s="13"/>
      <c r="E492" s="13"/>
      <c r="F492" s="13"/>
      <c r="G492" s="13"/>
      <c r="H492" s="13"/>
      <c r="I492" s="13"/>
      <c r="J492" s="13"/>
      <c r="K492" s="13"/>
      <c r="L492" s="13"/>
      <c r="M492" s="13"/>
      <c r="N492" s="98"/>
      <c r="O492" s="98"/>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row>
    <row r="493">
      <c r="A493" s="13"/>
      <c r="B493" s="84"/>
      <c r="C493" s="13"/>
      <c r="D493" s="13"/>
      <c r="E493" s="13"/>
      <c r="F493" s="13"/>
      <c r="G493" s="13"/>
      <c r="H493" s="13"/>
      <c r="I493" s="13"/>
      <c r="J493" s="13"/>
      <c r="K493" s="13"/>
      <c r="L493" s="13"/>
      <c r="M493" s="13"/>
      <c r="N493" s="98"/>
      <c r="O493" s="98"/>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row>
    <row r="494">
      <c r="A494" s="13"/>
      <c r="B494" s="84"/>
      <c r="C494" s="13"/>
      <c r="D494" s="13"/>
      <c r="E494" s="13"/>
      <c r="F494" s="13"/>
      <c r="G494" s="13"/>
      <c r="H494" s="13"/>
      <c r="I494" s="13"/>
      <c r="J494" s="13"/>
      <c r="K494" s="13"/>
      <c r="L494" s="13"/>
      <c r="M494" s="13"/>
      <c r="N494" s="98"/>
      <c r="O494" s="98"/>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row>
    <row r="495">
      <c r="A495" s="13"/>
      <c r="B495" s="84"/>
      <c r="C495" s="13"/>
      <c r="D495" s="13"/>
      <c r="E495" s="13"/>
      <c r="F495" s="13"/>
      <c r="G495" s="13"/>
      <c r="H495" s="13"/>
      <c r="I495" s="13"/>
      <c r="J495" s="13"/>
      <c r="K495" s="13"/>
      <c r="L495" s="13"/>
      <c r="M495" s="13"/>
      <c r="N495" s="98"/>
      <c r="O495" s="98"/>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row>
    <row r="496">
      <c r="A496" s="13"/>
      <c r="B496" s="84"/>
      <c r="C496" s="13"/>
      <c r="D496" s="13"/>
      <c r="E496" s="13"/>
      <c r="F496" s="13"/>
      <c r="G496" s="13"/>
      <c r="H496" s="13"/>
      <c r="I496" s="13"/>
      <c r="J496" s="13"/>
      <c r="K496" s="13"/>
      <c r="L496" s="13"/>
      <c r="M496" s="13"/>
      <c r="N496" s="98"/>
      <c r="O496" s="98"/>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row>
    <row r="497">
      <c r="A497" s="13"/>
      <c r="B497" s="84"/>
      <c r="C497" s="13"/>
      <c r="D497" s="13"/>
      <c r="E497" s="13"/>
      <c r="F497" s="13"/>
      <c r="G497" s="13"/>
      <c r="H497" s="13"/>
      <c r="I497" s="13"/>
      <c r="J497" s="13"/>
      <c r="K497" s="13"/>
      <c r="L497" s="13"/>
      <c r="M497" s="13"/>
      <c r="N497" s="98"/>
      <c r="O497" s="98"/>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row>
    <row r="498">
      <c r="A498" s="13"/>
      <c r="B498" s="84"/>
      <c r="C498" s="13"/>
      <c r="D498" s="13"/>
      <c r="E498" s="13"/>
      <c r="F498" s="13"/>
      <c r="G498" s="13"/>
      <c r="H498" s="13"/>
      <c r="I498" s="13"/>
      <c r="J498" s="13"/>
      <c r="K498" s="13"/>
      <c r="L498" s="13"/>
      <c r="M498" s="13"/>
      <c r="N498" s="98"/>
      <c r="O498" s="98"/>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row>
    <row r="499">
      <c r="A499" s="13"/>
      <c r="B499" s="84"/>
      <c r="C499" s="13"/>
      <c r="D499" s="13"/>
      <c r="E499" s="13"/>
      <c r="F499" s="13"/>
      <c r="G499" s="13"/>
      <c r="H499" s="13"/>
      <c r="I499" s="13"/>
      <c r="J499" s="13"/>
      <c r="K499" s="13"/>
      <c r="L499" s="13"/>
      <c r="M499" s="13"/>
      <c r="N499" s="98"/>
      <c r="O499" s="98"/>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row>
    <row r="500">
      <c r="A500" s="13"/>
      <c r="B500" s="84"/>
      <c r="C500" s="13"/>
      <c r="D500" s="13"/>
      <c r="E500" s="13"/>
      <c r="F500" s="13"/>
      <c r="G500" s="13"/>
      <c r="H500" s="13"/>
      <c r="I500" s="13"/>
      <c r="J500" s="13"/>
      <c r="K500" s="13"/>
      <c r="L500" s="13"/>
      <c r="M500" s="13"/>
      <c r="N500" s="98"/>
      <c r="O500" s="98"/>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row>
    <row r="501">
      <c r="A501" s="13"/>
      <c r="B501" s="84"/>
      <c r="C501" s="13"/>
      <c r="D501" s="13"/>
      <c r="E501" s="13"/>
      <c r="F501" s="13"/>
      <c r="G501" s="13"/>
      <c r="H501" s="13"/>
      <c r="I501" s="13"/>
      <c r="J501" s="13"/>
      <c r="K501" s="13"/>
      <c r="L501" s="13"/>
      <c r="M501" s="13"/>
      <c r="N501" s="98"/>
      <c r="O501" s="98"/>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row>
    <row r="502">
      <c r="A502" s="13"/>
      <c r="B502" s="84"/>
      <c r="C502" s="13"/>
      <c r="D502" s="13"/>
      <c r="E502" s="13"/>
      <c r="F502" s="13"/>
      <c r="G502" s="13"/>
      <c r="H502" s="13"/>
      <c r="I502" s="13"/>
      <c r="J502" s="13"/>
      <c r="K502" s="13"/>
      <c r="L502" s="13"/>
      <c r="M502" s="13"/>
      <c r="N502" s="98"/>
      <c r="O502" s="98"/>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row>
    <row r="503">
      <c r="A503" s="13"/>
      <c r="B503" s="84"/>
      <c r="C503" s="13"/>
      <c r="D503" s="13"/>
      <c r="E503" s="13"/>
      <c r="F503" s="13"/>
      <c r="G503" s="13"/>
      <c r="H503" s="13"/>
      <c r="I503" s="13"/>
      <c r="J503" s="13"/>
      <c r="K503" s="13"/>
      <c r="L503" s="13"/>
      <c r="M503" s="13"/>
      <c r="N503" s="98"/>
      <c r="O503" s="98"/>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row>
    <row r="504">
      <c r="A504" s="13"/>
      <c r="B504" s="84"/>
      <c r="C504" s="13"/>
      <c r="D504" s="13"/>
      <c r="E504" s="13"/>
      <c r="F504" s="13"/>
      <c r="G504" s="13"/>
      <c r="H504" s="13"/>
      <c r="I504" s="13"/>
      <c r="J504" s="13"/>
      <c r="K504" s="13"/>
      <c r="L504" s="13"/>
      <c r="M504" s="13"/>
      <c r="N504" s="98"/>
      <c r="O504" s="98"/>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row>
    <row r="505">
      <c r="A505" s="13"/>
      <c r="B505" s="84"/>
      <c r="C505" s="13"/>
      <c r="D505" s="13"/>
      <c r="E505" s="13"/>
      <c r="F505" s="13"/>
      <c r="G505" s="13"/>
      <c r="H505" s="13"/>
      <c r="I505" s="13"/>
      <c r="J505" s="13"/>
      <c r="K505" s="13"/>
      <c r="L505" s="13"/>
      <c r="M505" s="13"/>
      <c r="N505" s="98"/>
      <c r="O505" s="98"/>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row>
    <row r="506">
      <c r="A506" s="13"/>
      <c r="B506" s="84"/>
      <c r="C506" s="13"/>
      <c r="D506" s="13"/>
      <c r="E506" s="13"/>
      <c r="F506" s="13"/>
      <c r="G506" s="13"/>
      <c r="H506" s="13"/>
      <c r="I506" s="13"/>
      <c r="J506" s="13"/>
      <c r="K506" s="13"/>
      <c r="L506" s="13"/>
      <c r="M506" s="13"/>
      <c r="N506" s="98"/>
      <c r="O506" s="98"/>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row>
    <row r="507">
      <c r="A507" s="13"/>
      <c r="B507" s="84"/>
      <c r="C507" s="13"/>
      <c r="D507" s="13"/>
      <c r="E507" s="13"/>
      <c r="F507" s="13"/>
      <c r="G507" s="13"/>
      <c r="H507" s="13"/>
      <c r="I507" s="13"/>
      <c r="J507" s="13"/>
      <c r="K507" s="13"/>
      <c r="L507" s="13"/>
      <c r="M507" s="13"/>
      <c r="N507" s="98"/>
      <c r="O507" s="98"/>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row>
    <row r="508">
      <c r="A508" s="13"/>
      <c r="B508" s="84"/>
      <c r="C508" s="13"/>
      <c r="D508" s="13"/>
      <c r="E508" s="13"/>
      <c r="F508" s="13"/>
      <c r="G508" s="13"/>
      <c r="H508" s="13"/>
      <c r="I508" s="13"/>
      <c r="J508" s="13"/>
      <c r="K508" s="13"/>
      <c r="L508" s="13"/>
      <c r="M508" s="13"/>
      <c r="N508" s="98"/>
      <c r="O508" s="98"/>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row>
    <row r="509">
      <c r="A509" s="13"/>
      <c r="B509" s="84"/>
      <c r="C509" s="13"/>
      <c r="D509" s="13"/>
      <c r="E509" s="13"/>
      <c r="F509" s="13"/>
      <c r="G509" s="13"/>
      <c r="H509" s="13"/>
      <c r="I509" s="13"/>
      <c r="J509" s="13"/>
      <c r="K509" s="13"/>
      <c r="L509" s="13"/>
      <c r="M509" s="13"/>
      <c r="N509" s="98"/>
      <c r="O509" s="98"/>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row>
    <row r="510">
      <c r="A510" s="13"/>
      <c r="B510" s="84"/>
      <c r="C510" s="13"/>
      <c r="D510" s="13"/>
      <c r="E510" s="13"/>
      <c r="F510" s="13"/>
      <c r="G510" s="13"/>
      <c r="H510" s="13"/>
      <c r="I510" s="13"/>
      <c r="J510" s="13"/>
      <c r="K510" s="13"/>
      <c r="L510" s="13"/>
      <c r="M510" s="13"/>
      <c r="N510" s="98"/>
      <c r="O510" s="98"/>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row>
    <row r="511">
      <c r="A511" s="13"/>
      <c r="B511" s="84"/>
      <c r="C511" s="13"/>
      <c r="D511" s="13"/>
      <c r="E511" s="13"/>
      <c r="F511" s="13"/>
      <c r="G511" s="13"/>
      <c r="H511" s="13"/>
      <c r="I511" s="13"/>
      <c r="J511" s="13"/>
      <c r="K511" s="13"/>
      <c r="L511" s="13"/>
      <c r="M511" s="13"/>
      <c r="N511" s="98"/>
      <c r="O511" s="98"/>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row>
    <row r="512">
      <c r="A512" s="13"/>
      <c r="B512" s="84"/>
      <c r="C512" s="13"/>
      <c r="D512" s="13"/>
      <c r="E512" s="13"/>
      <c r="F512" s="13"/>
      <c r="G512" s="13"/>
      <c r="H512" s="13"/>
      <c r="I512" s="13"/>
      <c r="J512" s="13"/>
      <c r="K512" s="13"/>
      <c r="L512" s="13"/>
      <c r="M512" s="13"/>
      <c r="N512" s="98"/>
      <c r="O512" s="98"/>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row>
    <row r="513">
      <c r="A513" s="13"/>
      <c r="B513" s="84"/>
      <c r="C513" s="13"/>
      <c r="D513" s="13"/>
      <c r="E513" s="13"/>
      <c r="F513" s="13"/>
      <c r="G513" s="13"/>
      <c r="H513" s="13"/>
      <c r="I513" s="13"/>
      <c r="J513" s="13"/>
      <c r="K513" s="13"/>
      <c r="L513" s="13"/>
      <c r="M513" s="13"/>
      <c r="N513" s="98"/>
      <c r="O513" s="98"/>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row>
    <row r="514">
      <c r="A514" s="13"/>
      <c r="B514" s="84"/>
      <c r="C514" s="13"/>
      <c r="D514" s="13"/>
      <c r="E514" s="13"/>
      <c r="F514" s="13"/>
      <c r="G514" s="13"/>
      <c r="H514" s="13"/>
      <c r="I514" s="13"/>
      <c r="J514" s="13"/>
      <c r="K514" s="13"/>
      <c r="L514" s="13"/>
      <c r="M514" s="13"/>
      <c r="N514" s="98"/>
      <c r="O514" s="98"/>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row>
    <row r="515">
      <c r="A515" s="13"/>
      <c r="B515" s="84"/>
      <c r="C515" s="13"/>
      <c r="D515" s="13"/>
      <c r="E515" s="13"/>
      <c r="F515" s="13"/>
      <c r="G515" s="13"/>
      <c r="H515" s="13"/>
      <c r="I515" s="13"/>
      <c r="J515" s="13"/>
      <c r="K515" s="13"/>
      <c r="L515" s="13"/>
      <c r="M515" s="13"/>
      <c r="N515" s="98"/>
      <c r="O515" s="98"/>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row>
    <row r="516">
      <c r="A516" s="13"/>
      <c r="B516" s="84"/>
      <c r="C516" s="13"/>
      <c r="D516" s="13"/>
      <c r="E516" s="13"/>
      <c r="F516" s="13"/>
      <c r="G516" s="13"/>
      <c r="H516" s="13"/>
      <c r="I516" s="13"/>
      <c r="J516" s="13"/>
      <c r="K516" s="13"/>
      <c r="L516" s="13"/>
      <c r="M516" s="13"/>
      <c r="N516" s="98"/>
      <c r="O516" s="98"/>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row>
    <row r="517">
      <c r="A517" s="13"/>
      <c r="B517" s="84"/>
      <c r="C517" s="13"/>
      <c r="D517" s="13"/>
      <c r="E517" s="13"/>
      <c r="F517" s="13"/>
      <c r="G517" s="13"/>
      <c r="H517" s="13"/>
      <c r="I517" s="13"/>
      <c r="J517" s="13"/>
      <c r="K517" s="13"/>
      <c r="L517" s="13"/>
      <c r="M517" s="13"/>
      <c r="N517" s="98"/>
      <c r="O517" s="98"/>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row>
    <row r="518">
      <c r="A518" s="13"/>
      <c r="B518" s="84"/>
      <c r="C518" s="13"/>
      <c r="D518" s="13"/>
      <c r="E518" s="13"/>
      <c r="F518" s="13"/>
      <c r="G518" s="13"/>
      <c r="H518" s="13"/>
      <c r="I518" s="13"/>
      <c r="J518" s="13"/>
      <c r="K518" s="13"/>
      <c r="L518" s="13"/>
      <c r="M518" s="13"/>
      <c r="N518" s="98"/>
      <c r="O518" s="98"/>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row>
    <row r="519">
      <c r="A519" s="13"/>
      <c r="B519" s="84"/>
      <c r="C519" s="13"/>
      <c r="D519" s="13"/>
      <c r="E519" s="13"/>
      <c r="F519" s="13"/>
      <c r="G519" s="13"/>
      <c r="H519" s="13"/>
      <c r="I519" s="13"/>
      <c r="J519" s="13"/>
      <c r="K519" s="13"/>
      <c r="L519" s="13"/>
      <c r="M519" s="13"/>
      <c r="N519" s="98"/>
      <c r="O519" s="98"/>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row>
    <row r="520">
      <c r="A520" s="13"/>
      <c r="B520" s="84"/>
      <c r="C520" s="13"/>
      <c r="D520" s="13"/>
      <c r="E520" s="13"/>
      <c r="F520" s="13"/>
      <c r="G520" s="13"/>
      <c r="H520" s="13"/>
      <c r="I520" s="13"/>
      <c r="J520" s="13"/>
      <c r="K520" s="13"/>
      <c r="L520" s="13"/>
      <c r="M520" s="13"/>
      <c r="N520" s="98"/>
      <c r="O520" s="98"/>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row>
    <row r="521">
      <c r="A521" s="13"/>
      <c r="B521" s="84"/>
      <c r="C521" s="13"/>
      <c r="D521" s="13"/>
      <c r="E521" s="13"/>
      <c r="F521" s="13"/>
      <c r="G521" s="13"/>
      <c r="H521" s="13"/>
      <c r="I521" s="13"/>
      <c r="J521" s="13"/>
      <c r="K521" s="13"/>
      <c r="L521" s="13"/>
      <c r="M521" s="13"/>
      <c r="N521" s="98"/>
      <c r="O521" s="98"/>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row>
    <row r="522">
      <c r="A522" s="13"/>
      <c r="B522" s="84"/>
      <c r="C522" s="13"/>
      <c r="D522" s="13"/>
      <c r="E522" s="13"/>
      <c r="F522" s="13"/>
      <c r="G522" s="13"/>
      <c r="H522" s="13"/>
      <c r="I522" s="13"/>
      <c r="J522" s="13"/>
      <c r="K522" s="13"/>
      <c r="L522" s="13"/>
      <c r="M522" s="13"/>
      <c r="N522" s="98"/>
      <c r="O522" s="98"/>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row>
    <row r="523">
      <c r="A523" s="13"/>
      <c r="B523" s="84"/>
      <c r="C523" s="13"/>
      <c r="D523" s="13"/>
      <c r="E523" s="13"/>
      <c r="F523" s="13"/>
      <c r="G523" s="13"/>
      <c r="H523" s="13"/>
      <c r="I523" s="13"/>
      <c r="J523" s="13"/>
      <c r="K523" s="13"/>
      <c r="L523" s="13"/>
      <c r="M523" s="13"/>
      <c r="N523" s="98"/>
      <c r="O523" s="98"/>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row>
    <row r="524">
      <c r="A524" s="13"/>
      <c r="B524" s="84"/>
      <c r="C524" s="13"/>
      <c r="D524" s="13"/>
      <c r="E524" s="13"/>
      <c r="F524" s="13"/>
      <c r="G524" s="13"/>
      <c r="H524" s="13"/>
      <c r="I524" s="13"/>
      <c r="J524" s="13"/>
      <c r="K524" s="13"/>
      <c r="L524" s="13"/>
      <c r="M524" s="13"/>
      <c r="N524" s="98"/>
      <c r="O524" s="98"/>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row>
    <row r="525">
      <c r="A525" s="13"/>
      <c r="B525" s="84"/>
      <c r="C525" s="13"/>
      <c r="D525" s="13"/>
      <c r="E525" s="13"/>
      <c r="F525" s="13"/>
      <c r="G525" s="13"/>
      <c r="H525" s="13"/>
      <c r="I525" s="13"/>
      <c r="J525" s="13"/>
      <c r="K525" s="13"/>
      <c r="L525" s="13"/>
      <c r="M525" s="13"/>
      <c r="N525" s="98"/>
      <c r="O525" s="98"/>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row>
    <row r="526">
      <c r="A526" s="13"/>
      <c r="B526" s="84"/>
      <c r="C526" s="13"/>
      <c r="D526" s="13"/>
      <c r="E526" s="13"/>
      <c r="F526" s="13"/>
      <c r="G526" s="13"/>
      <c r="H526" s="13"/>
      <c r="I526" s="13"/>
      <c r="J526" s="13"/>
      <c r="K526" s="13"/>
      <c r="L526" s="13"/>
      <c r="M526" s="13"/>
      <c r="N526" s="98"/>
      <c r="O526" s="98"/>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row>
    <row r="527">
      <c r="A527" s="13"/>
      <c r="B527" s="84"/>
      <c r="C527" s="13"/>
      <c r="D527" s="13"/>
      <c r="E527" s="13"/>
      <c r="F527" s="13"/>
      <c r="G527" s="13"/>
      <c r="H527" s="13"/>
      <c r="I527" s="13"/>
      <c r="J527" s="13"/>
      <c r="K527" s="13"/>
      <c r="L527" s="13"/>
      <c r="M527" s="13"/>
      <c r="N527" s="98"/>
      <c r="O527" s="98"/>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row>
    <row r="528">
      <c r="A528" s="13"/>
      <c r="B528" s="84"/>
      <c r="C528" s="13"/>
      <c r="D528" s="13"/>
      <c r="E528" s="13"/>
      <c r="F528" s="13"/>
      <c r="G528" s="13"/>
      <c r="H528" s="13"/>
      <c r="I528" s="13"/>
      <c r="J528" s="13"/>
      <c r="K528" s="13"/>
      <c r="L528" s="13"/>
      <c r="M528" s="13"/>
      <c r="N528" s="98"/>
      <c r="O528" s="98"/>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row>
    <row r="529">
      <c r="A529" s="13"/>
      <c r="B529" s="84"/>
      <c r="C529" s="13"/>
      <c r="D529" s="13"/>
      <c r="E529" s="13"/>
      <c r="F529" s="13"/>
      <c r="G529" s="13"/>
      <c r="H529" s="13"/>
      <c r="I529" s="13"/>
      <c r="J529" s="13"/>
      <c r="K529" s="13"/>
      <c r="L529" s="13"/>
      <c r="M529" s="13"/>
      <c r="N529" s="98"/>
      <c r="O529" s="98"/>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row>
    <row r="530">
      <c r="A530" s="13"/>
      <c r="B530" s="84"/>
      <c r="C530" s="13"/>
      <c r="D530" s="13"/>
      <c r="E530" s="13"/>
      <c r="F530" s="13"/>
      <c r="G530" s="13"/>
      <c r="H530" s="13"/>
      <c r="I530" s="13"/>
      <c r="J530" s="13"/>
      <c r="K530" s="13"/>
      <c r="L530" s="13"/>
      <c r="M530" s="13"/>
      <c r="N530" s="98"/>
      <c r="O530" s="98"/>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row>
    <row r="531">
      <c r="A531" s="13"/>
      <c r="B531" s="84"/>
      <c r="C531" s="13"/>
      <c r="D531" s="13"/>
      <c r="E531" s="13"/>
      <c r="F531" s="13"/>
      <c r="G531" s="13"/>
      <c r="H531" s="13"/>
      <c r="I531" s="13"/>
      <c r="J531" s="13"/>
      <c r="K531" s="13"/>
      <c r="L531" s="13"/>
      <c r="M531" s="13"/>
      <c r="N531" s="98"/>
      <c r="O531" s="98"/>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row>
    <row r="532">
      <c r="A532" s="13"/>
      <c r="B532" s="84"/>
      <c r="C532" s="13"/>
      <c r="D532" s="13"/>
      <c r="E532" s="13"/>
      <c r="F532" s="13"/>
      <c r="G532" s="13"/>
      <c r="H532" s="13"/>
      <c r="I532" s="13"/>
      <c r="J532" s="13"/>
      <c r="K532" s="13"/>
      <c r="L532" s="13"/>
      <c r="M532" s="13"/>
      <c r="N532" s="98"/>
      <c r="O532" s="98"/>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row>
    <row r="533">
      <c r="A533" s="13"/>
      <c r="B533" s="84"/>
      <c r="C533" s="13"/>
      <c r="D533" s="13"/>
      <c r="E533" s="13"/>
      <c r="F533" s="13"/>
      <c r="G533" s="13"/>
      <c r="H533" s="13"/>
      <c r="I533" s="13"/>
      <c r="J533" s="13"/>
      <c r="K533" s="13"/>
      <c r="L533" s="13"/>
      <c r="M533" s="13"/>
      <c r="N533" s="98"/>
      <c r="O533" s="98"/>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row>
    <row r="534">
      <c r="A534" s="13"/>
      <c r="B534" s="84"/>
      <c r="C534" s="13"/>
      <c r="D534" s="13"/>
      <c r="E534" s="13"/>
      <c r="F534" s="13"/>
      <c r="G534" s="13"/>
      <c r="H534" s="13"/>
      <c r="I534" s="13"/>
      <c r="J534" s="13"/>
      <c r="K534" s="13"/>
      <c r="L534" s="13"/>
      <c r="M534" s="13"/>
      <c r="N534" s="98"/>
      <c r="O534" s="98"/>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row>
    <row r="535">
      <c r="A535" s="13"/>
      <c r="B535" s="84"/>
      <c r="C535" s="13"/>
      <c r="D535" s="13"/>
      <c r="E535" s="13"/>
      <c r="F535" s="13"/>
      <c r="G535" s="13"/>
      <c r="H535" s="13"/>
      <c r="I535" s="13"/>
      <c r="J535" s="13"/>
      <c r="K535" s="13"/>
      <c r="L535" s="13"/>
      <c r="M535" s="13"/>
      <c r="N535" s="98"/>
      <c r="O535" s="98"/>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row>
    <row r="536">
      <c r="A536" s="13"/>
      <c r="B536" s="84"/>
      <c r="C536" s="13"/>
      <c r="D536" s="13"/>
      <c r="E536" s="13"/>
      <c r="F536" s="13"/>
      <c r="G536" s="13"/>
      <c r="H536" s="13"/>
      <c r="I536" s="13"/>
      <c r="J536" s="13"/>
      <c r="K536" s="13"/>
      <c r="L536" s="13"/>
      <c r="M536" s="13"/>
      <c r="N536" s="98"/>
      <c r="O536" s="98"/>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row>
    <row r="537">
      <c r="A537" s="13"/>
      <c r="B537" s="84"/>
      <c r="C537" s="13"/>
      <c r="D537" s="13"/>
      <c r="E537" s="13"/>
      <c r="F537" s="13"/>
      <c r="G537" s="13"/>
      <c r="H537" s="13"/>
      <c r="I537" s="13"/>
      <c r="J537" s="13"/>
      <c r="K537" s="13"/>
      <c r="L537" s="13"/>
      <c r="M537" s="13"/>
      <c r="N537" s="98"/>
      <c r="O537" s="98"/>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row>
    <row r="538">
      <c r="A538" s="13"/>
      <c r="B538" s="84"/>
      <c r="C538" s="13"/>
      <c r="D538" s="13"/>
      <c r="E538" s="13"/>
      <c r="F538" s="13"/>
      <c r="G538" s="13"/>
      <c r="H538" s="13"/>
      <c r="I538" s="13"/>
      <c r="J538" s="13"/>
      <c r="K538" s="13"/>
      <c r="L538" s="13"/>
      <c r="M538" s="13"/>
      <c r="N538" s="98"/>
      <c r="O538" s="98"/>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row>
    <row r="539">
      <c r="A539" s="13"/>
      <c r="B539" s="84"/>
      <c r="C539" s="13"/>
      <c r="D539" s="13"/>
      <c r="E539" s="13"/>
      <c r="F539" s="13"/>
      <c r="G539" s="13"/>
      <c r="H539" s="13"/>
      <c r="I539" s="13"/>
      <c r="J539" s="13"/>
      <c r="K539" s="13"/>
      <c r="L539" s="13"/>
      <c r="M539" s="13"/>
      <c r="N539" s="98"/>
      <c r="O539" s="98"/>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row>
    <row r="540">
      <c r="A540" s="13"/>
      <c r="B540" s="84"/>
      <c r="C540" s="13"/>
      <c r="D540" s="13"/>
      <c r="E540" s="13"/>
      <c r="F540" s="13"/>
      <c r="G540" s="13"/>
      <c r="H540" s="13"/>
      <c r="I540" s="13"/>
      <c r="J540" s="13"/>
      <c r="K540" s="13"/>
      <c r="L540" s="13"/>
      <c r="M540" s="13"/>
      <c r="N540" s="98"/>
      <c r="O540" s="98"/>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row>
    <row r="541">
      <c r="A541" s="13"/>
      <c r="B541" s="84"/>
      <c r="C541" s="13"/>
      <c r="D541" s="13"/>
      <c r="E541" s="13"/>
      <c r="F541" s="13"/>
      <c r="G541" s="13"/>
      <c r="H541" s="13"/>
      <c r="I541" s="13"/>
      <c r="J541" s="13"/>
      <c r="K541" s="13"/>
      <c r="L541" s="13"/>
      <c r="M541" s="13"/>
      <c r="N541" s="98"/>
      <c r="O541" s="98"/>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row>
    <row r="542">
      <c r="A542" s="13"/>
      <c r="B542" s="84"/>
      <c r="C542" s="13"/>
      <c r="D542" s="13"/>
      <c r="E542" s="13"/>
      <c r="F542" s="13"/>
      <c r="G542" s="13"/>
      <c r="H542" s="13"/>
      <c r="I542" s="13"/>
      <c r="J542" s="13"/>
      <c r="K542" s="13"/>
      <c r="L542" s="13"/>
      <c r="M542" s="13"/>
      <c r="N542" s="98"/>
      <c r="O542" s="98"/>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row>
    <row r="543">
      <c r="A543" s="13"/>
      <c r="B543" s="84"/>
      <c r="C543" s="13"/>
      <c r="D543" s="13"/>
      <c r="E543" s="13"/>
      <c r="F543" s="13"/>
      <c r="G543" s="13"/>
      <c r="H543" s="13"/>
      <c r="I543" s="13"/>
      <c r="J543" s="13"/>
      <c r="K543" s="13"/>
      <c r="L543" s="13"/>
      <c r="M543" s="13"/>
      <c r="N543" s="98"/>
      <c r="O543" s="98"/>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row>
    <row r="544">
      <c r="A544" s="13"/>
      <c r="B544" s="84"/>
      <c r="C544" s="13"/>
      <c r="D544" s="13"/>
      <c r="E544" s="13"/>
      <c r="F544" s="13"/>
      <c r="G544" s="13"/>
      <c r="H544" s="13"/>
      <c r="I544" s="13"/>
      <c r="J544" s="13"/>
      <c r="K544" s="13"/>
      <c r="L544" s="13"/>
      <c r="M544" s="13"/>
      <c r="N544" s="98"/>
      <c r="O544" s="98"/>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row>
    <row r="545">
      <c r="A545" s="13"/>
      <c r="B545" s="84"/>
      <c r="C545" s="13"/>
      <c r="D545" s="13"/>
      <c r="E545" s="13"/>
      <c r="F545" s="13"/>
      <c r="G545" s="13"/>
      <c r="H545" s="13"/>
      <c r="I545" s="13"/>
      <c r="J545" s="13"/>
      <c r="K545" s="13"/>
      <c r="L545" s="13"/>
      <c r="M545" s="13"/>
      <c r="N545" s="98"/>
      <c r="O545" s="98"/>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row>
    <row r="546">
      <c r="A546" s="13"/>
      <c r="B546" s="84"/>
      <c r="C546" s="13"/>
      <c r="D546" s="13"/>
      <c r="E546" s="13"/>
      <c r="F546" s="13"/>
      <c r="G546" s="13"/>
      <c r="H546" s="13"/>
      <c r="I546" s="13"/>
      <c r="J546" s="13"/>
      <c r="K546" s="13"/>
      <c r="L546" s="13"/>
      <c r="M546" s="13"/>
      <c r="N546" s="98"/>
      <c r="O546" s="98"/>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row>
    <row r="547">
      <c r="A547" s="13"/>
      <c r="B547" s="84"/>
      <c r="C547" s="13"/>
      <c r="D547" s="13"/>
      <c r="E547" s="13"/>
      <c r="F547" s="13"/>
      <c r="G547" s="13"/>
      <c r="H547" s="13"/>
      <c r="I547" s="13"/>
      <c r="J547" s="13"/>
      <c r="K547" s="13"/>
      <c r="L547" s="13"/>
      <c r="M547" s="13"/>
      <c r="N547" s="98"/>
      <c r="O547" s="98"/>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row>
    <row r="548">
      <c r="A548" s="13"/>
      <c r="B548" s="84"/>
      <c r="C548" s="13"/>
      <c r="D548" s="13"/>
      <c r="E548" s="13"/>
      <c r="F548" s="13"/>
      <c r="G548" s="13"/>
      <c r="H548" s="13"/>
      <c r="I548" s="13"/>
      <c r="J548" s="13"/>
      <c r="K548" s="13"/>
      <c r="L548" s="13"/>
      <c r="M548" s="13"/>
      <c r="N548" s="98"/>
      <c r="O548" s="98"/>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row>
    <row r="549">
      <c r="A549" s="13"/>
      <c r="B549" s="84"/>
      <c r="C549" s="13"/>
      <c r="D549" s="13"/>
      <c r="E549" s="13"/>
      <c r="F549" s="13"/>
      <c r="G549" s="13"/>
      <c r="H549" s="13"/>
      <c r="I549" s="13"/>
      <c r="J549" s="13"/>
      <c r="K549" s="13"/>
      <c r="L549" s="13"/>
      <c r="M549" s="13"/>
      <c r="N549" s="98"/>
      <c r="O549" s="98"/>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row>
    <row r="550">
      <c r="A550" s="13"/>
      <c r="B550" s="84"/>
      <c r="C550" s="13"/>
      <c r="D550" s="13"/>
      <c r="E550" s="13"/>
      <c r="F550" s="13"/>
      <c r="G550" s="13"/>
      <c r="H550" s="13"/>
      <c r="I550" s="13"/>
      <c r="J550" s="13"/>
      <c r="K550" s="13"/>
      <c r="L550" s="13"/>
      <c r="M550" s="13"/>
      <c r="N550" s="98"/>
      <c r="O550" s="98"/>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row>
    <row r="551">
      <c r="A551" s="13"/>
      <c r="B551" s="84"/>
      <c r="C551" s="13"/>
      <c r="D551" s="13"/>
      <c r="E551" s="13"/>
      <c r="F551" s="13"/>
      <c r="G551" s="13"/>
      <c r="H551" s="13"/>
      <c r="I551" s="13"/>
      <c r="J551" s="13"/>
      <c r="K551" s="13"/>
      <c r="L551" s="13"/>
      <c r="M551" s="13"/>
      <c r="N551" s="98"/>
      <c r="O551" s="98"/>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row>
    <row r="552">
      <c r="A552" s="13"/>
      <c r="B552" s="84"/>
      <c r="C552" s="13"/>
      <c r="D552" s="13"/>
      <c r="E552" s="13"/>
      <c r="F552" s="13"/>
      <c r="G552" s="13"/>
      <c r="H552" s="13"/>
      <c r="I552" s="13"/>
      <c r="J552" s="13"/>
      <c r="K552" s="13"/>
      <c r="L552" s="13"/>
      <c r="M552" s="13"/>
      <c r="N552" s="98"/>
      <c r="O552" s="98"/>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row>
    <row r="553">
      <c r="A553" s="13"/>
      <c r="B553" s="84"/>
      <c r="C553" s="13"/>
      <c r="D553" s="13"/>
      <c r="E553" s="13"/>
      <c r="F553" s="13"/>
      <c r="G553" s="13"/>
      <c r="H553" s="13"/>
      <c r="I553" s="13"/>
      <c r="J553" s="13"/>
      <c r="K553" s="13"/>
      <c r="L553" s="13"/>
      <c r="M553" s="13"/>
      <c r="N553" s="98"/>
      <c r="O553" s="98"/>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row>
    <row r="554">
      <c r="A554" s="13"/>
      <c r="B554" s="84"/>
      <c r="C554" s="13"/>
      <c r="D554" s="13"/>
      <c r="E554" s="13"/>
      <c r="F554" s="13"/>
      <c r="G554" s="13"/>
      <c r="H554" s="13"/>
      <c r="I554" s="13"/>
      <c r="J554" s="13"/>
      <c r="K554" s="13"/>
      <c r="L554" s="13"/>
      <c r="M554" s="13"/>
      <c r="N554" s="98"/>
      <c r="O554" s="98"/>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row>
    <row r="555">
      <c r="A555" s="13"/>
      <c r="B555" s="84"/>
      <c r="C555" s="13"/>
      <c r="D555" s="13"/>
      <c r="E555" s="13"/>
      <c r="F555" s="13"/>
      <c r="G555" s="13"/>
      <c r="H555" s="13"/>
      <c r="I555" s="13"/>
      <c r="J555" s="13"/>
      <c r="K555" s="13"/>
      <c r="L555" s="13"/>
      <c r="M555" s="13"/>
      <c r="N555" s="98"/>
      <c r="O555" s="98"/>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row>
    <row r="556">
      <c r="A556" s="13"/>
      <c r="B556" s="84"/>
      <c r="C556" s="13"/>
      <c r="D556" s="13"/>
      <c r="E556" s="13"/>
      <c r="F556" s="13"/>
      <c r="G556" s="13"/>
      <c r="H556" s="13"/>
      <c r="I556" s="13"/>
      <c r="J556" s="13"/>
      <c r="K556" s="13"/>
      <c r="L556" s="13"/>
      <c r="M556" s="13"/>
      <c r="N556" s="98"/>
      <c r="O556" s="98"/>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row>
    <row r="557">
      <c r="A557" s="13"/>
      <c r="B557" s="84"/>
      <c r="C557" s="13"/>
      <c r="D557" s="13"/>
      <c r="E557" s="13"/>
      <c r="F557" s="13"/>
      <c r="G557" s="13"/>
      <c r="H557" s="13"/>
      <c r="I557" s="13"/>
      <c r="J557" s="13"/>
      <c r="K557" s="13"/>
      <c r="L557" s="13"/>
      <c r="M557" s="13"/>
      <c r="N557" s="98"/>
      <c r="O557" s="98"/>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row>
    <row r="558">
      <c r="A558" s="13"/>
      <c r="B558" s="84"/>
      <c r="C558" s="13"/>
      <c r="D558" s="13"/>
      <c r="E558" s="13"/>
      <c r="F558" s="13"/>
      <c r="G558" s="13"/>
      <c r="H558" s="13"/>
      <c r="I558" s="13"/>
      <c r="J558" s="13"/>
      <c r="K558" s="13"/>
      <c r="L558" s="13"/>
      <c r="M558" s="13"/>
      <c r="N558" s="98"/>
      <c r="O558" s="98"/>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row>
    <row r="559">
      <c r="A559" s="13"/>
      <c r="B559" s="84"/>
      <c r="C559" s="13"/>
      <c r="D559" s="13"/>
      <c r="E559" s="13"/>
      <c r="F559" s="13"/>
      <c r="G559" s="13"/>
      <c r="H559" s="13"/>
      <c r="I559" s="13"/>
      <c r="J559" s="13"/>
      <c r="K559" s="13"/>
      <c r="L559" s="13"/>
      <c r="M559" s="13"/>
      <c r="N559" s="98"/>
      <c r="O559" s="98"/>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row>
    <row r="560">
      <c r="A560" s="13"/>
      <c r="B560" s="84"/>
      <c r="C560" s="13"/>
      <c r="D560" s="13"/>
      <c r="E560" s="13"/>
      <c r="F560" s="13"/>
      <c r="G560" s="13"/>
      <c r="H560" s="13"/>
      <c r="I560" s="13"/>
      <c r="J560" s="13"/>
      <c r="K560" s="13"/>
      <c r="L560" s="13"/>
      <c r="M560" s="13"/>
      <c r="N560" s="98"/>
      <c r="O560" s="98"/>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row>
    <row r="561">
      <c r="A561" s="13"/>
      <c r="B561" s="84"/>
      <c r="C561" s="13"/>
      <c r="D561" s="13"/>
      <c r="E561" s="13"/>
      <c r="F561" s="13"/>
      <c r="G561" s="13"/>
      <c r="H561" s="13"/>
      <c r="I561" s="13"/>
      <c r="J561" s="13"/>
      <c r="K561" s="13"/>
      <c r="L561" s="13"/>
      <c r="M561" s="13"/>
      <c r="N561" s="98"/>
      <c r="O561" s="98"/>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row>
    <row r="562">
      <c r="A562" s="13"/>
      <c r="B562" s="84"/>
      <c r="C562" s="13"/>
      <c r="D562" s="13"/>
      <c r="E562" s="13"/>
      <c r="F562" s="13"/>
      <c r="G562" s="13"/>
      <c r="H562" s="13"/>
      <c r="I562" s="13"/>
      <c r="J562" s="13"/>
      <c r="K562" s="13"/>
      <c r="L562" s="13"/>
      <c r="M562" s="13"/>
      <c r="N562" s="98"/>
      <c r="O562" s="98"/>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row>
    <row r="563">
      <c r="A563" s="13"/>
      <c r="B563" s="84"/>
      <c r="C563" s="13"/>
      <c r="D563" s="13"/>
      <c r="E563" s="13"/>
      <c r="F563" s="13"/>
      <c r="G563" s="13"/>
      <c r="H563" s="13"/>
      <c r="I563" s="13"/>
      <c r="J563" s="13"/>
      <c r="K563" s="13"/>
      <c r="L563" s="13"/>
      <c r="M563" s="13"/>
      <c r="N563" s="98"/>
      <c r="O563" s="98"/>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row>
    <row r="564">
      <c r="A564" s="13"/>
      <c r="B564" s="84"/>
      <c r="C564" s="13"/>
      <c r="D564" s="13"/>
      <c r="E564" s="13"/>
      <c r="F564" s="13"/>
      <c r="G564" s="13"/>
      <c r="H564" s="13"/>
      <c r="I564" s="13"/>
      <c r="J564" s="13"/>
      <c r="K564" s="13"/>
      <c r="L564" s="13"/>
      <c r="M564" s="13"/>
      <c r="N564" s="98"/>
      <c r="O564" s="98"/>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row>
    <row r="565">
      <c r="A565" s="13"/>
      <c r="B565" s="84"/>
      <c r="C565" s="13"/>
      <c r="D565" s="13"/>
      <c r="E565" s="13"/>
      <c r="F565" s="13"/>
      <c r="G565" s="13"/>
      <c r="H565" s="13"/>
      <c r="I565" s="13"/>
      <c r="J565" s="13"/>
      <c r="K565" s="13"/>
      <c r="L565" s="13"/>
      <c r="M565" s="13"/>
      <c r="N565" s="98"/>
      <c r="O565" s="98"/>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row>
    <row r="566">
      <c r="A566" s="13"/>
      <c r="B566" s="84"/>
      <c r="C566" s="13"/>
      <c r="D566" s="13"/>
      <c r="E566" s="13"/>
      <c r="F566" s="13"/>
      <c r="G566" s="13"/>
      <c r="H566" s="13"/>
      <c r="I566" s="13"/>
      <c r="J566" s="13"/>
      <c r="K566" s="13"/>
      <c r="L566" s="13"/>
      <c r="M566" s="13"/>
      <c r="N566" s="98"/>
      <c r="O566" s="98"/>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row>
    <row r="567">
      <c r="A567" s="13"/>
      <c r="B567" s="84"/>
      <c r="C567" s="13"/>
      <c r="D567" s="13"/>
      <c r="E567" s="13"/>
      <c r="F567" s="13"/>
      <c r="G567" s="13"/>
      <c r="H567" s="13"/>
      <c r="I567" s="13"/>
      <c r="J567" s="13"/>
      <c r="K567" s="13"/>
      <c r="L567" s="13"/>
      <c r="M567" s="13"/>
      <c r="N567" s="98"/>
      <c r="O567" s="98"/>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row>
    <row r="568">
      <c r="A568" s="13"/>
      <c r="B568" s="84"/>
      <c r="C568" s="13"/>
      <c r="D568" s="13"/>
      <c r="E568" s="13"/>
      <c r="F568" s="13"/>
      <c r="G568" s="13"/>
      <c r="H568" s="13"/>
      <c r="I568" s="13"/>
      <c r="J568" s="13"/>
      <c r="K568" s="13"/>
      <c r="L568" s="13"/>
      <c r="M568" s="13"/>
      <c r="N568" s="98"/>
      <c r="O568" s="98"/>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row>
    <row r="569">
      <c r="A569" s="13"/>
      <c r="B569" s="84"/>
      <c r="C569" s="13"/>
      <c r="D569" s="13"/>
      <c r="E569" s="13"/>
      <c r="F569" s="13"/>
      <c r="G569" s="13"/>
      <c r="H569" s="13"/>
      <c r="I569" s="13"/>
      <c r="J569" s="13"/>
      <c r="K569" s="13"/>
      <c r="L569" s="13"/>
      <c r="M569" s="13"/>
      <c r="N569" s="98"/>
      <c r="O569" s="98"/>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row>
    <row r="570">
      <c r="A570" s="13"/>
      <c r="B570" s="84"/>
      <c r="C570" s="13"/>
      <c r="D570" s="13"/>
      <c r="E570" s="13"/>
      <c r="F570" s="13"/>
      <c r="G570" s="13"/>
      <c r="H570" s="13"/>
      <c r="I570" s="13"/>
      <c r="J570" s="13"/>
      <c r="K570" s="13"/>
      <c r="L570" s="13"/>
      <c r="M570" s="13"/>
      <c r="N570" s="98"/>
      <c r="O570" s="98"/>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row>
    <row r="571">
      <c r="A571" s="13"/>
      <c r="B571" s="84"/>
      <c r="C571" s="13"/>
      <c r="D571" s="13"/>
      <c r="E571" s="13"/>
      <c r="F571" s="13"/>
      <c r="G571" s="13"/>
      <c r="H571" s="13"/>
      <c r="I571" s="13"/>
      <c r="J571" s="13"/>
      <c r="K571" s="13"/>
      <c r="L571" s="13"/>
      <c r="M571" s="13"/>
      <c r="N571" s="98"/>
      <c r="O571" s="98"/>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row>
    <row r="572">
      <c r="A572" s="13"/>
      <c r="B572" s="84"/>
      <c r="C572" s="13"/>
      <c r="D572" s="13"/>
      <c r="E572" s="13"/>
      <c r="F572" s="13"/>
      <c r="G572" s="13"/>
      <c r="H572" s="13"/>
      <c r="I572" s="13"/>
      <c r="J572" s="13"/>
      <c r="K572" s="13"/>
      <c r="L572" s="13"/>
      <c r="M572" s="13"/>
      <c r="N572" s="98"/>
      <c r="O572" s="98"/>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row>
    <row r="573">
      <c r="A573" s="13"/>
      <c r="B573" s="84"/>
      <c r="C573" s="13"/>
      <c r="D573" s="13"/>
      <c r="E573" s="13"/>
      <c r="F573" s="13"/>
      <c r="G573" s="13"/>
      <c r="H573" s="13"/>
      <c r="I573" s="13"/>
      <c r="J573" s="13"/>
      <c r="K573" s="13"/>
      <c r="L573" s="13"/>
      <c r="M573" s="13"/>
      <c r="N573" s="98"/>
      <c r="O573" s="98"/>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row>
    <row r="574">
      <c r="A574" s="13"/>
      <c r="B574" s="84"/>
      <c r="C574" s="13"/>
      <c r="D574" s="13"/>
      <c r="E574" s="13"/>
      <c r="F574" s="13"/>
      <c r="G574" s="13"/>
      <c r="H574" s="13"/>
      <c r="I574" s="13"/>
      <c r="J574" s="13"/>
      <c r="K574" s="13"/>
      <c r="L574" s="13"/>
      <c r="M574" s="13"/>
      <c r="N574" s="98"/>
      <c r="O574" s="98"/>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row>
    <row r="575">
      <c r="A575" s="13"/>
      <c r="B575" s="84"/>
      <c r="C575" s="13"/>
      <c r="D575" s="13"/>
      <c r="E575" s="13"/>
      <c r="F575" s="13"/>
      <c r="G575" s="13"/>
      <c r="H575" s="13"/>
      <c r="I575" s="13"/>
      <c r="J575" s="13"/>
      <c r="K575" s="13"/>
      <c r="L575" s="13"/>
      <c r="M575" s="13"/>
      <c r="N575" s="98"/>
      <c r="O575" s="98"/>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row>
    <row r="576">
      <c r="A576" s="13"/>
      <c r="B576" s="84"/>
      <c r="C576" s="13"/>
      <c r="D576" s="13"/>
      <c r="E576" s="13"/>
      <c r="F576" s="13"/>
      <c r="G576" s="13"/>
      <c r="H576" s="13"/>
      <c r="I576" s="13"/>
      <c r="J576" s="13"/>
      <c r="K576" s="13"/>
      <c r="L576" s="13"/>
      <c r="M576" s="13"/>
      <c r="N576" s="98"/>
      <c r="O576" s="98"/>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row>
    <row r="577">
      <c r="A577" s="13"/>
      <c r="B577" s="84"/>
      <c r="C577" s="13"/>
      <c r="D577" s="13"/>
      <c r="E577" s="13"/>
      <c r="F577" s="13"/>
      <c r="G577" s="13"/>
      <c r="H577" s="13"/>
      <c r="I577" s="13"/>
      <c r="J577" s="13"/>
      <c r="K577" s="13"/>
      <c r="L577" s="13"/>
      <c r="M577" s="13"/>
      <c r="N577" s="98"/>
      <c r="O577" s="98"/>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row>
    <row r="578">
      <c r="A578" s="13"/>
      <c r="B578" s="84"/>
      <c r="C578" s="13"/>
      <c r="D578" s="13"/>
      <c r="E578" s="13"/>
      <c r="F578" s="13"/>
      <c r="G578" s="13"/>
      <c r="H578" s="13"/>
      <c r="I578" s="13"/>
      <c r="J578" s="13"/>
      <c r="K578" s="13"/>
      <c r="L578" s="13"/>
      <c r="M578" s="13"/>
      <c r="N578" s="98"/>
      <c r="O578" s="98"/>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row>
    <row r="579">
      <c r="A579" s="13"/>
      <c r="B579" s="84"/>
      <c r="C579" s="13"/>
      <c r="D579" s="13"/>
      <c r="E579" s="13"/>
      <c r="F579" s="13"/>
      <c r="G579" s="13"/>
      <c r="H579" s="13"/>
      <c r="I579" s="13"/>
      <c r="J579" s="13"/>
      <c r="K579" s="13"/>
      <c r="L579" s="13"/>
      <c r="M579" s="13"/>
      <c r="N579" s="98"/>
      <c r="O579" s="98"/>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row>
    <row r="580">
      <c r="A580" s="13"/>
      <c r="B580" s="84"/>
      <c r="C580" s="13"/>
      <c r="D580" s="13"/>
      <c r="E580" s="13"/>
      <c r="F580" s="13"/>
      <c r="G580" s="13"/>
      <c r="H580" s="13"/>
      <c r="I580" s="13"/>
      <c r="J580" s="13"/>
      <c r="K580" s="13"/>
      <c r="L580" s="13"/>
      <c r="M580" s="13"/>
      <c r="N580" s="98"/>
      <c r="O580" s="98"/>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row>
    <row r="581">
      <c r="A581" s="13"/>
      <c r="B581" s="84"/>
      <c r="C581" s="13"/>
      <c r="D581" s="13"/>
      <c r="E581" s="13"/>
      <c r="F581" s="13"/>
      <c r="G581" s="13"/>
      <c r="H581" s="13"/>
      <c r="I581" s="13"/>
      <c r="J581" s="13"/>
      <c r="K581" s="13"/>
      <c r="L581" s="13"/>
      <c r="M581" s="13"/>
      <c r="N581" s="98"/>
      <c r="O581" s="98"/>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row>
    <row r="582">
      <c r="A582" s="13"/>
      <c r="B582" s="84"/>
      <c r="C582" s="13"/>
      <c r="D582" s="13"/>
      <c r="E582" s="13"/>
      <c r="F582" s="13"/>
      <c r="G582" s="13"/>
      <c r="H582" s="13"/>
      <c r="I582" s="13"/>
      <c r="J582" s="13"/>
      <c r="K582" s="13"/>
      <c r="L582" s="13"/>
      <c r="M582" s="13"/>
      <c r="N582" s="98"/>
      <c r="O582" s="98"/>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row>
    <row r="583">
      <c r="A583" s="13"/>
      <c r="B583" s="84"/>
      <c r="C583" s="13"/>
      <c r="D583" s="13"/>
      <c r="E583" s="13"/>
      <c r="F583" s="13"/>
      <c r="G583" s="13"/>
      <c r="H583" s="13"/>
      <c r="I583" s="13"/>
      <c r="J583" s="13"/>
      <c r="K583" s="13"/>
      <c r="L583" s="13"/>
      <c r="M583" s="13"/>
      <c r="N583" s="98"/>
      <c r="O583" s="98"/>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row>
    <row r="584">
      <c r="A584" s="13"/>
      <c r="B584" s="84"/>
      <c r="C584" s="13"/>
      <c r="D584" s="13"/>
      <c r="E584" s="13"/>
      <c r="F584" s="13"/>
      <c r="G584" s="13"/>
      <c r="H584" s="13"/>
      <c r="I584" s="13"/>
      <c r="J584" s="13"/>
      <c r="K584" s="13"/>
      <c r="L584" s="13"/>
      <c r="M584" s="13"/>
      <c r="N584" s="98"/>
      <c r="O584" s="98"/>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row>
    <row r="585">
      <c r="A585" s="13"/>
      <c r="B585" s="84"/>
      <c r="C585" s="13"/>
      <c r="D585" s="13"/>
      <c r="E585" s="13"/>
      <c r="F585" s="13"/>
      <c r="G585" s="13"/>
      <c r="H585" s="13"/>
      <c r="I585" s="13"/>
      <c r="J585" s="13"/>
      <c r="K585" s="13"/>
      <c r="L585" s="13"/>
      <c r="M585" s="13"/>
      <c r="N585" s="98"/>
      <c r="O585" s="98"/>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row>
    <row r="586">
      <c r="A586" s="13"/>
      <c r="B586" s="84"/>
      <c r="C586" s="13"/>
      <c r="D586" s="13"/>
      <c r="E586" s="13"/>
      <c r="F586" s="13"/>
      <c r="G586" s="13"/>
      <c r="H586" s="13"/>
      <c r="I586" s="13"/>
      <c r="J586" s="13"/>
      <c r="K586" s="13"/>
      <c r="L586" s="13"/>
      <c r="M586" s="13"/>
      <c r="N586" s="98"/>
      <c r="O586" s="98"/>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row>
    <row r="587">
      <c r="A587" s="13"/>
      <c r="B587" s="84"/>
      <c r="C587" s="13"/>
      <c r="D587" s="13"/>
      <c r="E587" s="13"/>
      <c r="F587" s="13"/>
      <c r="G587" s="13"/>
      <c r="H587" s="13"/>
      <c r="I587" s="13"/>
      <c r="J587" s="13"/>
      <c r="K587" s="13"/>
      <c r="L587" s="13"/>
      <c r="M587" s="13"/>
      <c r="N587" s="98"/>
      <c r="O587" s="98"/>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row>
    <row r="588">
      <c r="A588" s="13"/>
      <c r="B588" s="84"/>
      <c r="C588" s="13"/>
      <c r="D588" s="13"/>
      <c r="E588" s="13"/>
      <c r="F588" s="13"/>
      <c r="G588" s="13"/>
      <c r="H588" s="13"/>
      <c r="I588" s="13"/>
      <c r="J588" s="13"/>
      <c r="K588" s="13"/>
      <c r="L588" s="13"/>
      <c r="M588" s="13"/>
      <c r="N588" s="98"/>
      <c r="O588" s="98"/>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row>
    <row r="589">
      <c r="A589" s="13"/>
      <c r="B589" s="84"/>
      <c r="C589" s="13"/>
      <c r="D589" s="13"/>
      <c r="E589" s="13"/>
      <c r="F589" s="13"/>
      <c r="G589" s="13"/>
      <c r="H589" s="13"/>
      <c r="I589" s="13"/>
      <c r="J589" s="13"/>
      <c r="K589" s="13"/>
      <c r="L589" s="13"/>
      <c r="M589" s="13"/>
      <c r="N589" s="98"/>
      <c r="O589" s="98"/>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row>
    <row r="590">
      <c r="A590" s="13"/>
      <c r="B590" s="84"/>
      <c r="C590" s="13"/>
      <c r="D590" s="13"/>
      <c r="E590" s="13"/>
      <c r="F590" s="13"/>
      <c r="G590" s="13"/>
      <c r="H590" s="13"/>
      <c r="I590" s="13"/>
      <c r="J590" s="13"/>
      <c r="K590" s="13"/>
      <c r="L590" s="13"/>
      <c r="M590" s="13"/>
      <c r="N590" s="98"/>
      <c r="O590" s="98"/>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row>
    <row r="591">
      <c r="A591" s="13"/>
      <c r="B591" s="84"/>
      <c r="C591" s="13"/>
      <c r="D591" s="13"/>
      <c r="E591" s="13"/>
      <c r="F591" s="13"/>
      <c r="G591" s="13"/>
      <c r="H591" s="13"/>
      <c r="I591" s="13"/>
      <c r="J591" s="13"/>
      <c r="K591" s="13"/>
      <c r="L591" s="13"/>
      <c r="M591" s="13"/>
      <c r="N591" s="98"/>
      <c r="O591" s="98"/>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row>
    <row r="592">
      <c r="A592" s="13"/>
      <c r="B592" s="84"/>
      <c r="C592" s="13"/>
      <c r="D592" s="13"/>
      <c r="E592" s="13"/>
      <c r="F592" s="13"/>
      <c r="G592" s="13"/>
      <c r="H592" s="13"/>
      <c r="I592" s="13"/>
      <c r="J592" s="13"/>
      <c r="K592" s="13"/>
      <c r="L592" s="13"/>
      <c r="M592" s="13"/>
      <c r="N592" s="98"/>
      <c r="O592" s="98"/>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row>
    <row r="593">
      <c r="A593" s="13"/>
      <c r="B593" s="84"/>
      <c r="C593" s="13"/>
      <c r="D593" s="13"/>
      <c r="E593" s="13"/>
      <c r="F593" s="13"/>
      <c r="G593" s="13"/>
      <c r="H593" s="13"/>
      <c r="I593" s="13"/>
      <c r="J593" s="13"/>
      <c r="K593" s="13"/>
      <c r="L593" s="13"/>
      <c r="M593" s="13"/>
      <c r="N593" s="98"/>
      <c r="O593" s="98"/>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row>
    <row r="594">
      <c r="A594" s="13"/>
      <c r="B594" s="84"/>
      <c r="C594" s="13"/>
      <c r="D594" s="13"/>
      <c r="E594" s="13"/>
      <c r="F594" s="13"/>
      <c r="G594" s="13"/>
      <c r="H594" s="13"/>
      <c r="I594" s="13"/>
      <c r="J594" s="13"/>
      <c r="K594" s="13"/>
      <c r="L594" s="13"/>
      <c r="M594" s="13"/>
      <c r="N594" s="98"/>
      <c r="O594" s="98"/>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row>
    <row r="595">
      <c r="A595" s="13"/>
      <c r="B595" s="84"/>
      <c r="C595" s="13"/>
      <c r="D595" s="13"/>
      <c r="E595" s="13"/>
      <c r="F595" s="13"/>
      <c r="G595" s="13"/>
      <c r="H595" s="13"/>
      <c r="I595" s="13"/>
      <c r="J595" s="13"/>
      <c r="K595" s="13"/>
      <c r="L595" s="13"/>
      <c r="M595" s="13"/>
      <c r="N595" s="98"/>
      <c r="O595" s="98"/>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row>
    <row r="596">
      <c r="A596" s="13"/>
      <c r="B596" s="84"/>
      <c r="C596" s="13"/>
      <c r="D596" s="13"/>
      <c r="E596" s="13"/>
      <c r="F596" s="13"/>
      <c r="G596" s="13"/>
      <c r="H596" s="13"/>
      <c r="I596" s="13"/>
      <c r="J596" s="13"/>
      <c r="K596" s="13"/>
      <c r="L596" s="13"/>
      <c r="M596" s="13"/>
      <c r="N596" s="98"/>
      <c r="O596" s="98"/>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row>
    <row r="597">
      <c r="A597" s="13"/>
      <c r="B597" s="84"/>
      <c r="C597" s="13"/>
      <c r="D597" s="13"/>
      <c r="E597" s="13"/>
      <c r="F597" s="13"/>
      <c r="G597" s="13"/>
      <c r="H597" s="13"/>
      <c r="I597" s="13"/>
      <c r="J597" s="13"/>
      <c r="K597" s="13"/>
      <c r="L597" s="13"/>
      <c r="M597" s="13"/>
      <c r="N597" s="98"/>
      <c r="O597" s="98"/>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row>
    <row r="598">
      <c r="A598" s="13"/>
      <c r="B598" s="84"/>
      <c r="C598" s="13"/>
      <c r="D598" s="13"/>
      <c r="E598" s="13"/>
      <c r="F598" s="13"/>
      <c r="G598" s="13"/>
      <c r="H598" s="13"/>
      <c r="I598" s="13"/>
      <c r="J598" s="13"/>
      <c r="K598" s="13"/>
      <c r="L598" s="13"/>
      <c r="M598" s="13"/>
      <c r="N598" s="98"/>
      <c r="O598" s="98"/>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row>
    <row r="599">
      <c r="A599" s="13"/>
      <c r="B599" s="84"/>
      <c r="C599" s="13"/>
      <c r="D599" s="13"/>
      <c r="E599" s="13"/>
      <c r="F599" s="13"/>
      <c r="G599" s="13"/>
      <c r="H599" s="13"/>
      <c r="I599" s="13"/>
      <c r="J599" s="13"/>
      <c r="K599" s="13"/>
      <c r="L599" s="13"/>
      <c r="M599" s="13"/>
      <c r="N599" s="98"/>
      <c r="O599" s="98"/>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row>
    <row r="600">
      <c r="A600" s="13"/>
      <c r="B600" s="84"/>
      <c r="C600" s="13"/>
      <c r="D600" s="13"/>
      <c r="E600" s="13"/>
      <c r="F600" s="13"/>
      <c r="G600" s="13"/>
      <c r="H600" s="13"/>
      <c r="I600" s="13"/>
      <c r="J600" s="13"/>
      <c r="K600" s="13"/>
      <c r="L600" s="13"/>
      <c r="M600" s="13"/>
      <c r="N600" s="98"/>
      <c r="O600" s="98"/>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row>
    <row r="601">
      <c r="A601" s="13"/>
      <c r="B601" s="84"/>
      <c r="C601" s="13"/>
      <c r="D601" s="13"/>
      <c r="E601" s="13"/>
      <c r="F601" s="13"/>
      <c r="G601" s="13"/>
      <c r="H601" s="13"/>
      <c r="I601" s="13"/>
      <c r="J601" s="13"/>
      <c r="K601" s="13"/>
      <c r="L601" s="13"/>
      <c r="M601" s="13"/>
      <c r="N601" s="98"/>
      <c r="O601" s="98"/>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row>
    <row r="602">
      <c r="A602" s="13"/>
      <c r="B602" s="84"/>
      <c r="C602" s="13"/>
      <c r="D602" s="13"/>
      <c r="E602" s="13"/>
      <c r="F602" s="13"/>
      <c r="G602" s="13"/>
      <c r="H602" s="13"/>
      <c r="I602" s="13"/>
      <c r="J602" s="13"/>
      <c r="K602" s="13"/>
      <c r="L602" s="13"/>
      <c r="M602" s="13"/>
      <c r="N602" s="98"/>
      <c r="O602" s="98"/>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row>
    <row r="603">
      <c r="A603" s="13"/>
      <c r="B603" s="84"/>
      <c r="C603" s="13"/>
      <c r="D603" s="13"/>
      <c r="E603" s="13"/>
      <c r="F603" s="13"/>
      <c r="G603" s="13"/>
      <c r="H603" s="13"/>
      <c r="I603" s="13"/>
      <c r="J603" s="13"/>
      <c r="K603" s="13"/>
      <c r="L603" s="13"/>
      <c r="M603" s="13"/>
      <c r="N603" s="98"/>
      <c r="O603" s="98"/>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row>
    <row r="604">
      <c r="A604" s="13"/>
      <c r="B604" s="84"/>
      <c r="C604" s="13"/>
      <c r="D604" s="13"/>
      <c r="E604" s="13"/>
      <c r="F604" s="13"/>
      <c r="G604" s="13"/>
      <c r="H604" s="13"/>
      <c r="I604" s="13"/>
      <c r="J604" s="13"/>
      <c r="K604" s="13"/>
      <c r="L604" s="13"/>
      <c r="M604" s="13"/>
      <c r="N604" s="98"/>
      <c r="O604" s="98"/>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row>
    <row r="605">
      <c r="A605" s="13"/>
      <c r="B605" s="84"/>
      <c r="C605" s="13"/>
      <c r="D605" s="13"/>
      <c r="E605" s="13"/>
      <c r="F605" s="13"/>
      <c r="G605" s="13"/>
      <c r="H605" s="13"/>
      <c r="I605" s="13"/>
      <c r="J605" s="13"/>
      <c r="K605" s="13"/>
      <c r="L605" s="13"/>
      <c r="M605" s="13"/>
      <c r="N605" s="98"/>
      <c r="O605" s="98"/>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row>
    <row r="606">
      <c r="A606" s="13"/>
      <c r="B606" s="84"/>
      <c r="C606" s="13"/>
      <c r="D606" s="13"/>
      <c r="E606" s="13"/>
      <c r="F606" s="13"/>
      <c r="G606" s="13"/>
      <c r="H606" s="13"/>
      <c r="I606" s="13"/>
      <c r="J606" s="13"/>
      <c r="K606" s="13"/>
      <c r="L606" s="13"/>
      <c r="M606" s="13"/>
      <c r="N606" s="98"/>
      <c r="O606" s="98"/>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row>
    <row r="607">
      <c r="A607" s="13"/>
      <c r="B607" s="84"/>
      <c r="C607" s="13"/>
      <c r="D607" s="13"/>
      <c r="E607" s="13"/>
      <c r="F607" s="13"/>
      <c r="G607" s="13"/>
      <c r="H607" s="13"/>
      <c r="I607" s="13"/>
      <c r="J607" s="13"/>
      <c r="K607" s="13"/>
      <c r="L607" s="13"/>
      <c r="M607" s="13"/>
      <c r="N607" s="98"/>
      <c r="O607" s="98"/>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row>
    <row r="608">
      <c r="A608" s="13"/>
      <c r="B608" s="84"/>
      <c r="C608" s="13"/>
      <c r="D608" s="13"/>
      <c r="E608" s="13"/>
      <c r="F608" s="13"/>
      <c r="G608" s="13"/>
      <c r="H608" s="13"/>
      <c r="I608" s="13"/>
      <c r="J608" s="13"/>
      <c r="K608" s="13"/>
      <c r="L608" s="13"/>
      <c r="M608" s="13"/>
      <c r="N608" s="98"/>
      <c r="O608" s="98"/>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row>
    <row r="609">
      <c r="A609" s="13"/>
      <c r="B609" s="84"/>
      <c r="C609" s="13"/>
      <c r="D609" s="13"/>
      <c r="E609" s="13"/>
      <c r="F609" s="13"/>
      <c r="G609" s="13"/>
      <c r="H609" s="13"/>
      <c r="I609" s="13"/>
      <c r="J609" s="13"/>
      <c r="K609" s="13"/>
      <c r="L609" s="13"/>
      <c r="M609" s="13"/>
      <c r="N609" s="98"/>
      <c r="O609" s="98"/>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row>
    <row r="610">
      <c r="A610" s="13"/>
      <c r="B610" s="84"/>
      <c r="C610" s="13"/>
      <c r="D610" s="13"/>
      <c r="E610" s="13"/>
      <c r="F610" s="13"/>
      <c r="G610" s="13"/>
      <c r="H610" s="13"/>
      <c r="I610" s="13"/>
      <c r="J610" s="13"/>
      <c r="K610" s="13"/>
      <c r="L610" s="13"/>
      <c r="M610" s="13"/>
      <c r="N610" s="98"/>
      <c r="O610" s="98"/>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row>
    <row r="611">
      <c r="A611" s="13"/>
      <c r="B611" s="84"/>
      <c r="C611" s="13"/>
      <c r="D611" s="13"/>
      <c r="E611" s="13"/>
      <c r="F611" s="13"/>
      <c r="G611" s="13"/>
      <c r="H611" s="13"/>
      <c r="I611" s="13"/>
      <c r="J611" s="13"/>
      <c r="K611" s="13"/>
      <c r="L611" s="13"/>
      <c r="M611" s="13"/>
      <c r="N611" s="98"/>
      <c r="O611" s="98"/>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row>
    <row r="612">
      <c r="A612" s="13"/>
      <c r="B612" s="84"/>
      <c r="C612" s="13"/>
      <c r="D612" s="13"/>
      <c r="E612" s="13"/>
      <c r="F612" s="13"/>
      <c r="G612" s="13"/>
      <c r="H612" s="13"/>
      <c r="I612" s="13"/>
      <c r="J612" s="13"/>
      <c r="K612" s="13"/>
      <c r="L612" s="13"/>
      <c r="M612" s="13"/>
      <c r="N612" s="98"/>
      <c r="O612" s="98"/>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row>
    <row r="613">
      <c r="A613" s="13"/>
      <c r="B613" s="84"/>
      <c r="C613" s="13"/>
      <c r="D613" s="13"/>
      <c r="E613" s="13"/>
      <c r="F613" s="13"/>
      <c r="G613" s="13"/>
      <c r="H613" s="13"/>
      <c r="I613" s="13"/>
      <c r="J613" s="13"/>
      <c r="K613" s="13"/>
      <c r="L613" s="13"/>
      <c r="M613" s="13"/>
      <c r="N613" s="98"/>
      <c r="O613" s="98"/>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row>
    <row r="614">
      <c r="A614" s="13"/>
      <c r="B614" s="84"/>
      <c r="C614" s="13"/>
      <c r="D614" s="13"/>
      <c r="E614" s="13"/>
      <c r="F614" s="13"/>
      <c r="G614" s="13"/>
      <c r="H614" s="13"/>
      <c r="I614" s="13"/>
      <c r="J614" s="13"/>
      <c r="K614" s="13"/>
      <c r="L614" s="13"/>
      <c r="M614" s="13"/>
      <c r="N614" s="98"/>
      <c r="O614" s="98"/>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row>
    <row r="615">
      <c r="A615" s="13"/>
      <c r="B615" s="84"/>
      <c r="C615" s="13"/>
      <c r="D615" s="13"/>
      <c r="E615" s="13"/>
      <c r="F615" s="13"/>
      <c r="G615" s="13"/>
      <c r="H615" s="13"/>
      <c r="I615" s="13"/>
      <c r="J615" s="13"/>
      <c r="K615" s="13"/>
      <c r="L615" s="13"/>
      <c r="M615" s="13"/>
      <c r="N615" s="98"/>
      <c r="O615" s="98"/>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row>
    <row r="616">
      <c r="A616" s="13"/>
      <c r="B616" s="84"/>
      <c r="C616" s="13"/>
      <c r="D616" s="13"/>
      <c r="E616" s="13"/>
      <c r="F616" s="13"/>
      <c r="G616" s="13"/>
      <c r="H616" s="13"/>
      <c r="I616" s="13"/>
      <c r="J616" s="13"/>
      <c r="K616" s="13"/>
      <c r="L616" s="13"/>
      <c r="M616" s="13"/>
      <c r="N616" s="98"/>
      <c r="O616" s="98"/>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row>
    <row r="617">
      <c r="A617" s="13"/>
      <c r="B617" s="84"/>
      <c r="C617" s="13"/>
      <c r="D617" s="13"/>
      <c r="E617" s="13"/>
      <c r="F617" s="13"/>
      <c r="G617" s="13"/>
      <c r="H617" s="13"/>
      <c r="I617" s="13"/>
      <c r="J617" s="13"/>
      <c r="K617" s="13"/>
      <c r="L617" s="13"/>
      <c r="M617" s="13"/>
      <c r="N617" s="98"/>
      <c r="O617" s="98"/>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row>
    <row r="618">
      <c r="A618" s="13"/>
      <c r="B618" s="84"/>
      <c r="C618" s="13"/>
      <c r="D618" s="13"/>
      <c r="E618" s="13"/>
      <c r="F618" s="13"/>
      <c r="G618" s="13"/>
      <c r="H618" s="13"/>
      <c r="I618" s="13"/>
      <c r="J618" s="13"/>
      <c r="K618" s="13"/>
      <c r="L618" s="13"/>
      <c r="M618" s="13"/>
      <c r="N618" s="98"/>
      <c r="O618" s="98"/>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row>
    <row r="619">
      <c r="A619" s="13"/>
      <c r="B619" s="84"/>
      <c r="C619" s="13"/>
      <c r="D619" s="13"/>
      <c r="E619" s="13"/>
      <c r="F619" s="13"/>
      <c r="G619" s="13"/>
      <c r="H619" s="13"/>
      <c r="I619" s="13"/>
      <c r="J619" s="13"/>
      <c r="K619" s="13"/>
      <c r="L619" s="13"/>
      <c r="M619" s="13"/>
      <c r="N619" s="98"/>
      <c r="O619" s="98"/>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row>
    <row r="620">
      <c r="A620" s="13"/>
      <c r="B620" s="84"/>
      <c r="C620" s="13"/>
      <c r="D620" s="13"/>
      <c r="E620" s="13"/>
      <c r="F620" s="13"/>
      <c r="G620" s="13"/>
      <c r="H620" s="13"/>
      <c r="I620" s="13"/>
      <c r="J620" s="13"/>
      <c r="K620" s="13"/>
      <c r="L620" s="13"/>
      <c r="M620" s="13"/>
      <c r="N620" s="98"/>
      <c r="O620" s="98"/>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row>
    <row r="621">
      <c r="A621" s="13"/>
      <c r="B621" s="84"/>
      <c r="C621" s="13"/>
      <c r="D621" s="13"/>
      <c r="E621" s="13"/>
      <c r="F621" s="13"/>
      <c r="G621" s="13"/>
      <c r="H621" s="13"/>
      <c r="I621" s="13"/>
      <c r="J621" s="13"/>
      <c r="K621" s="13"/>
      <c r="L621" s="13"/>
      <c r="M621" s="13"/>
      <c r="N621" s="98"/>
      <c r="O621" s="98"/>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row>
    <row r="622">
      <c r="A622" s="13"/>
      <c r="B622" s="84"/>
      <c r="C622" s="13"/>
      <c r="D622" s="13"/>
      <c r="E622" s="13"/>
      <c r="F622" s="13"/>
      <c r="G622" s="13"/>
      <c r="H622" s="13"/>
      <c r="I622" s="13"/>
      <c r="J622" s="13"/>
      <c r="K622" s="13"/>
      <c r="L622" s="13"/>
      <c r="M622" s="13"/>
      <c r="N622" s="98"/>
      <c r="O622" s="98"/>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row>
    <row r="623">
      <c r="A623" s="13"/>
      <c r="B623" s="84"/>
      <c r="C623" s="13"/>
      <c r="D623" s="13"/>
      <c r="E623" s="13"/>
      <c r="F623" s="13"/>
      <c r="G623" s="13"/>
      <c r="H623" s="13"/>
      <c r="I623" s="13"/>
      <c r="J623" s="13"/>
      <c r="K623" s="13"/>
      <c r="L623" s="13"/>
      <c r="M623" s="13"/>
      <c r="N623" s="98"/>
      <c r="O623" s="98"/>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row>
    <row r="624">
      <c r="A624" s="13"/>
      <c r="B624" s="84"/>
      <c r="C624" s="13"/>
      <c r="D624" s="13"/>
      <c r="E624" s="13"/>
      <c r="F624" s="13"/>
      <c r="G624" s="13"/>
      <c r="H624" s="13"/>
      <c r="I624" s="13"/>
      <c r="J624" s="13"/>
      <c r="K624" s="13"/>
      <c r="L624" s="13"/>
      <c r="M624" s="13"/>
      <c r="N624" s="98"/>
      <c r="O624" s="98"/>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row>
    <row r="625">
      <c r="A625" s="13"/>
      <c r="B625" s="84"/>
      <c r="C625" s="13"/>
      <c r="D625" s="13"/>
      <c r="E625" s="13"/>
      <c r="F625" s="13"/>
      <c r="G625" s="13"/>
      <c r="H625" s="13"/>
      <c r="I625" s="13"/>
      <c r="J625" s="13"/>
      <c r="K625" s="13"/>
      <c r="L625" s="13"/>
      <c r="M625" s="13"/>
      <c r="N625" s="98"/>
      <c r="O625" s="98"/>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row>
    <row r="626">
      <c r="A626" s="13"/>
      <c r="B626" s="84"/>
      <c r="C626" s="13"/>
      <c r="D626" s="13"/>
      <c r="E626" s="13"/>
      <c r="F626" s="13"/>
      <c r="G626" s="13"/>
      <c r="H626" s="13"/>
      <c r="I626" s="13"/>
      <c r="J626" s="13"/>
      <c r="K626" s="13"/>
      <c r="L626" s="13"/>
      <c r="M626" s="13"/>
      <c r="N626" s="98"/>
      <c r="O626" s="98"/>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row>
    <row r="627">
      <c r="A627" s="13"/>
      <c r="B627" s="84"/>
      <c r="C627" s="13"/>
      <c r="D627" s="13"/>
      <c r="E627" s="13"/>
      <c r="F627" s="13"/>
      <c r="G627" s="13"/>
      <c r="H627" s="13"/>
      <c r="I627" s="13"/>
      <c r="J627" s="13"/>
      <c r="K627" s="13"/>
      <c r="L627" s="13"/>
      <c r="M627" s="13"/>
      <c r="N627" s="98"/>
      <c r="O627" s="98"/>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row>
    <row r="628">
      <c r="A628" s="13"/>
      <c r="B628" s="84"/>
      <c r="C628" s="13"/>
      <c r="D628" s="13"/>
      <c r="E628" s="13"/>
      <c r="F628" s="13"/>
      <c r="G628" s="13"/>
      <c r="H628" s="13"/>
      <c r="I628" s="13"/>
      <c r="J628" s="13"/>
      <c r="K628" s="13"/>
      <c r="L628" s="13"/>
      <c r="M628" s="13"/>
      <c r="N628" s="98"/>
      <c r="O628" s="98"/>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row>
    <row r="629">
      <c r="A629" s="13"/>
      <c r="B629" s="84"/>
      <c r="C629" s="13"/>
      <c r="D629" s="13"/>
      <c r="E629" s="13"/>
      <c r="F629" s="13"/>
      <c r="G629" s="13"/>
      <c r="H629" s="13"/>
      <c r="I629" s="13"/>
      <c r="J629" s="13"/>
      <c r="K629" s="13"/>
      <c r="L629" s="13"/>
      <c r="M629" s="13"/>
      <c r="N629" s="98"/>
      <c r="O629" s="98"/>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row>
    <row r="630">
      <c r="A630" s="13"/>
      <c r="B630" s="84"/>
      <c r="C630" s="13"/>
      <c r="D630" s="13"/>
      <c r="E630" s="13"/>
      <c r="F630" s="13"/>
      <c r="G630" s="13"/>
      <c r="H630" s="13"/>
      <c r="I630" s="13"/>
      <c r="J630" s="13"/>
      <c r="K630" s="13"/>
      <c r="L630" s="13"/>
      <c r="M630" s="13"/>
      <c r="N630" s="98"/>
      <c r="O630" s="98"/>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row>
    <row r="631">
      <c r="A631" s="13"/>
      <c r="B631" s="84"/>
      <c r="C631" s="13"/>
      <c r="D631" s="13"/>
      <c r="E631" s="13"/>
      <c r="F631" s="13"/>
      <c r="G631" s="13"/>
      <c r="H631" s="13"/>
      <c r="I631" s="13"/>
      <c r="J631" s="13"/>
      <c r="K631" s="13"/>
      <c r="L631" s="13"/>
      <c r="M631" s="13"/>
      <c r="N631" s="98"/>
      <c r="O631" s="98"/>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row>
    <row r="632">
      <c r="A632" s="13"/>
      <c r="B632" s="84"/>
      <c r="C632" s="13"/>
      <c r="D632" s="13"/>
      <c r="E632" s="13"/>
      <c r="F632" s="13"/>
      <c r="G632" s="13"/>
      <c r="H632" s="13"/>
      <c r="I632" s="13"/>
      <c r="J632" s="13"/>
      <c r="K632" s="13"/>
      <c r="L632" s="13"/>
      <c r="M632" s="13"/>
      <c r="N632" s="98"/>
      <c r="O632" s="98"/>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row>
    <row r="633">
      <c r="A633" s="13"/>
      <c r="B633" s="84"/>
      <c r="C633" s="13"/>
      <c r="D633" s="13"/>
      <c r="E633" s="13"/>
      <c r="F633" s="13"/>
      <c r="G633" s="13"/>
      <c r="H633" s="13"/>
      <c r="I633" s="13"/>
      <c r="J633" s="13"/>
      <c r="K633" s="13"/>
      <c r="L633" s="13"/>
      <c r="M633" s="13"/>
      <c r="N633" s="98"/>
      <c r="O633" s="98"/>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row>
    <row r="634">
      <c r="A634" s="13"/>
      <c r="B634" s="84"/>
      <c r="C634" s="13"/>
      <c r="D634" s="13"/>
      <c r="E634" s="13"/>
      <c r="F634" s="13"/>
      <c r="G634" s="13"/>
      <c r="H634" s="13"/>
      <c r="I634" s="13"/>
      <c r="J634" s="13"/>
      <c r="K634" s="13"/>
      <c r="L634" s="13"/>
      <c r="M634" s="13"/>
      <c r="N634" s="98"/>
      <c r="O634" s="98"/>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row>
    <row r="635">
      <c r="A635" s="13"/>
      <c r="B635" s="84"/>
      <c r="C635" s="13"/>
      <c r="D635" s="13"/>
      <c r="E635" s="13"/>
      <c r="F635" s="13"/>
      <c r="G635" s="13"/>
      <c r="H635" s="13"/>
      <c r="I635" s="13"/>
      <c r="J635" s="13"/>
      <c r="K635" s="13"/>
      <c r="L635" s="13"/>
      <c r="M635" s="13"/>
      <c r="N635" s="98"/>
      <c r="O635" s="98"/>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row>
    <row r="636">
      <c r="A636" s="13"/>
      <c r="B636" s="84"/>
      <c r="C636" s="13"/>
      <c r="D636" s="13"/>
      <c r="E636" s="13"/>
      <c r="F636" s="13"/>
      <c r="G636" s="13"/>
      <c r="H636" s="13"/>
      <c r="I636" s="13"/>
      <c r="J636" s="13"/>
      <c r="K636" s="13"/>
      <c r="L636" s="13"/>
      <c r="M636" s="13"/>
      <c r="N636" s="98"/>
      <c r="O636" s="98"/>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row>
    <row r="637">
      <c r="A637" s="13"/>
      <c r="B637" s="84"/>
      <c r="C637" s="13"/>
      <c r="D637" s="13"/>
      <c r="E637" s="13"/>
      <c r="F637" s="13"/>
      <c r="G637" s="13"/>
      <c r="H637" s="13"/>
      <c r="I637" s="13"/>
      <c r="J637" s="13"/>
      <c r="K637" s="13"/>
      <c r="L637" s="13"/>
      <c r="M637" s="13"/>
      <c r="N637" s="98"/>
      <c r="O637" s="98"/>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row>
    <row r="638">
      <c r="A638" s="13"/>
      <c r="B638" s="84"/>
      <c r="C638" s="13"/>
      <c r="D638" s="13"/>
      <c r="E638" s="13"/>
      <c r="F638" s="13"/>
      <c r="G638" s="13"/>
      <c r="H638" s="13"/>
      <c r="I638" s="13"/>
      <c r="J638" s="13"/>
      <c r="K638" s="13"/>
      <c r="L638" s="13"/>
      <c r="M638" s="13"/>
      <c r="N638" s="98"/>
      <c r="O638" s="98"/>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row>
    <row r="639">
      <c r="A639" s="13"/>
      <c r="B639" s="84"/>
      <c r="C639" s="13"/>
      <c r="D639" s="13"/>
      <c r="E639" s="13"/>
      <c r="F639" s="13"/>
      <c r="G639" s="13"/>
      <c r="H639" s="13"/>
      <c r="I639" s="13"/>
      <c r="J639" s="13"/>
      <c r="K639" s="13"/>
      <c r="L639" s="13"/>
      <c r="M639" s="13"/>
      <c r="N639" s="98"/>
      <c r="O639" s="98"/>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row>
    <row r="640">
      <c r="A640" s="13"/>
      <c r="B640" s="84"/>
      <c r="C640" s="13"/>
      <c r="D640" s="13"/>
      <c r="E640" s="13"/>
      <c r="F640" s="13"/>
      <c r="G640" s="13"/>
      <c r="H640" s="13"/>
      <c r="I640" s="13"/>
      <c r="J640" s="13"/>
      <c r="K640" s="13"/>
      <c r="L640" s="13"/>
      <c r="M640" s="13"/>
      <c r="N640" s="98"/>
      <c r="O640" s="98"/>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row>
    <row r="641">
      <c r="A641" s="13"/>
      <c r="B641" s="84"/>
      <c r="C641" s="13"/>
      <c r="D641" s="13"/>
      <c r="E641" s="13"/>
      <c r="F641" s="13"/>
      <c r="G641" s="13"/>
      <c r="H641" s="13"/>
      <c r="I641" s="13"/>
      <c r="J641" s="13"/>
      <c r="K641" s="13"/>
      <c r="L641" s="13"/>
      <c r="M641" s="13"/>
      <c r="N641" s="98"/>
      <c r="O641" s="98"/>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row>
    <row r="642">
      <c r="A642" s="13"/>
      <c r="B642" s="84"/>
      <c r="C642" s="13"/>
      <c r="D642" s="13"/>
      <c r="E642" s="13"/>
      <c r="F642" s="13"/>
      <c r="G642" s="13"/>
      <c r="H642" s="13"/>
      <c r="I642" s="13"/>
      <c r="J642" s="13"/>
      <c r="K642" s="13"/>
      <c r="L642" s="13"/>
      <c r="M642" s="13"/>
      <c r="N642" s="98"/>
      <c r="O642" s="98"/>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row>
    <row r="643">
      <c r="A643" s="13"/>
      <c r="B643" s="84"/>
      <c r="C643" s="13"/>
      <c r="D643" s="13"/>
      <c r="E643" s="13"/>
      <c r="F643" s="13"/>
      <c r="G643" s="13"/>
      <c r="H643" s="13"/>
      <c r="I643" s="13"/>
      <c r="J643" s="13"/>
      <c r="K643" s="13"/>
      <c r="L643" s="13"/>
      <c r="M643" s="13"/>
      <c r="N643" s="98"/>
      <c r="O643" s="98"/>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row>
    <row r="644">
      <c r="A644" s="13"/>
      <c r="B644" s="84"/>
      <c r="C644" s="13"/>
      <c r="D644" s="13"/>
      <c r="E644" s="13"/>
      <c r="F644" s="13"/>
      <c r="G644" s="13"/>
      <c r="H644" s="13"/>
      <c r="I644" s="13"/>
      <c r="J644" s="13"/>
      <c r="K644" s="13"/>
      <c r="L644" s="13"/>
      <c r="M644" s="13"/>
      <c r="N644" s="98"/>
      <c r="O644" s="98"/>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row>
    <row r="645">
      <c r="A645" s="13"/>
      <c r="B645" s="84"/>
      <c r="C645" s="13"/>
      <c r="D645" s="13"/>
      <c r="E645" s="13"/>
      <c r="F645" s="13"/>
      <c r="G645" s="13"/>
      <c r="H645" s="13"/>
      <c r="I645" s="13"/>
      <c r="J645" s="13"/>
      <c r="K645" s="13"/>
      <c r="L645" s="13"/>
      <c r="M645" s="13"/>
      <c r="N645" s="98"/>
      <c r="O645" s="98"/>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row>
    <row r="646">
      <c r="A646" s="13"/>
      <c r="B646" s="84"/>
      <c r="C646" s="13"/>
      <c r="D646" s="13"/>
      <c r="E646" s="13"/>
      <c r="F646" s="13"/>
      <c r="G646" s="13"/>
      <c r="H646" s="13"/>
      <c r="I646" s="13"/>
      <c r="J646" s="13"/>
      <c r="K646" s="13"/>
      <c r="L646" s="13"/>
      <c r="M646" s="13"/>
      <c r="N646" s="98"/>
      <c r="O646" s="98"/>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row>
    <row r="647">
      <c r="A647" s="13"/>
      <c r="B647" s="84"/>
      <c r="C647" s="13"/>
      <c r="D647" s="13"/>
      <c r="E647" s="13"/>
      <c r="F647" s="13"/>
      <c r="G647" s="13"/>
      <c r="H647" s="13"/>
      <c r="I647" s="13"/>
      <c r="J647" s="13"/>
      <c r="K647" s="13"/>
      <c r="L647" s="13"/>
      <c r="M647" s="13"/>
      <c r="N647" s="98"/>
      <c r="O647" s="98"/>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row>
    <row r="648">
      <c r="A648" s="13"/>
      <c r="B648" s="84"/>
      <c r="C648" s="13"/>
      <c r="D648" s="13"/>
      <c r="E648" s="13"/>
      <c r="F648" s="13"/>
      <c r="G648" s="13"/>
      <c r="H648" s="13"/>
      <c r="I648" s="13"/>
      <c r="J648" s="13"/>
      <c r="K648" s="13"/>
      <c r="L648" s="13"/>
      <c r="M648" s="13"/>
      <c r="N648" s="98"/>
      <c r="O648" s="98"/>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row>
    <row r="649">
      <c r="A649" s="13"/>
      <c r="B649" s="84"/>
      <c r="C649" s="13"/>
      <c r="D649" s="13"/>
      <c r="E649" s="13"/>
      <c r="F649" s="13"/>
      <c r="G649" s="13"/>
      <c r="H649" s="13"/>
      <c r="I649" s="13"/>
      <c r="J649" s="13"/>
      <c r="K649" s="13"/>
      <c r="L649" s="13"/>
      <c r="M649" s="13"/>
      <c r="N649" s="98"/>
      <c r="O649" s="98"/>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row>
    <row r="650">
      <c r="A650" s="13"/>
      <c r="B650" s="84"/>
      <c r="C650" s="13"/>
      <c r="D650" s="13"/>
      <c r="E650" s="13"/>
      <c r="F650" s="13"/>
      <c r="G650" s="13"/>
      <c r="H650" s="13"/>
      <c r="I650" s="13"/>
      <c r="J650" s="13"/>
      <c r="K650" s="13"/>
      <c r="L650" s="13"/>
      <c r="M650" s="13"/>
      <c r="N650" s="98"/>
      <c r="O650" s="98"/>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row>
    <row r="651">
      <c r="A651" s="13"/>
      <c r="B651" s="84"/>
      <c r="C651" s="13"/>
      <c r="D651" s="13"/>
      <c r="E651" s="13"/>
      <c r="F651" s="13"/>
      <c r="G651" s="13"/>
      <c r="H651" s="13"/>
      <c r="I651" s="13"/>
      <c r="J651" s="13"/>
      <c r="K651" s="13"/>
      <c r="L651" s="13"/>
      <c r="M651" s="13"/>
      <c r="N651" s="98"/>
      <c r="O651" s="98"/>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row>
    <row r="652">
      <c r="A652" s="13"/>
      <c r="B652" s="84"/>
      <c r="C652" s="13"/>
      <c r="D652" s="13"/>
      <c r="E652" s="13"/>
      <c r="F652" s="13"/>
      <c r="G652" s="13"/>
      <c r="H652" s="13"/>
      <c r="I652" s="13"/>
      <c r="J652" s="13"/>
      <c r="K652" s="13"/>
      <c r="L652" s="13"/>
      <c r="M652" s="13"/>
      <c r="N652" s="98"/>
      <c r="O652" s="98"/>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row>
    <row r="653">
      <c r="A653" s="13"/>
      <c r="B653" s="84"/>
      <c r="C653" s="13"/>
      <c r="D653" s="13"/>
      <c r="E653" s="13"/>
      <c r="F653" s="13"/>
      <c r="G653" s="13"/>
      <c r="H653" s="13"/>
      <c r="I653" s="13"/>
      <c r="J653" s="13"/>
      <c r="K653" s="13"/>
      <c r="L653" s="13"/>
      <c r="M653" s="13"/>
      <c r="N653" s="98"/>
      <c r="O653" s="98"/>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row>
    <row r="654">
      <c r="A654" s="13"/>
      <c r="B654" s="84"/>
      <c r="C654" s="13"/>
      <c r="D654" s="13"/>
      <c r="E654" s="13"/>
      <c r="F654" s="13"/>
      <c r="G654" s="13"/>
      <c r="H654" s="13"/>
      <c r="I654" s="13"/>
      <c r="J654" s="13"/>
      <c r="K654" s="13"/>
      <c r="L654" s="13"/>
      <c r="M654" s="13"/>
      <c r="N654" s="98"/>
      <c r="O654" s="98"/>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row>
    <row r="655">
      <c r="A655" s="13"/>
      <c r="B655" s="84"/>
      <c r="C655" s="13"/>
      <c r="D655" s="13"/>
      <c r="E655" s="13"/>
      <c r="F655" s="13"/>
      <c r="G655" s="13"/>
      <c r="H655" s="13"/>
      <c r="I655" s="13"/>
      <c r="J655" s="13"/>
      <c r="K655" s="13"/>
      <c r="L655" s="13"/>
      <c r="M655" s="13"/>
      <c r="N655" s="98"/>
      <c r="O655" s="98"/>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row>
    <row r="656">
      <c r="A656" s="13"/>
      <c r="B656" s="84"/>
      <c r="C656" s="13"/>
      <c r="D656" s="13"/>
      <c r="E656" s="13"/>
      <c r="F656" s="13"/>
      <c r="G656" s="13"/>
      <c r="H656" s="13"/>
      <c r="I656" s="13"/>
      <c r="J656" s="13"/>
      <c r="K656" s="13"/>
      <c r="L656" s="13"/>
      <c r="M656" s="13"/>
      <c r="N656" s="98"/>
      <c r="O656" s="98"/>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row>
    <row r="657">
      <c r="A657" s="13"/>
      <c r="B657" s="84"/>
      <c r="C657" s="13"/>
      <c r="D657" s="13"/>
      <c r="E657" s="13"/>
      <c r="F657" s="13"/>
      <c r="G657" s="13"/>
      <c r="H657" s="13"/>
      <c r="I657" s="13"/>
      <c r="J657" s="13"/>
      <c r="K657" s="13"/>
      <c r="L657" s="13"/>
      <c r="M657" s="13"/>
      <c r="N657" s="98"/>
      <c r="O657" s="98"/>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row>
    <row r="658">
      <c r="A658" s="13"/>
      <c r="B658" s="84"/>
      <c r="C658" s="13"/>
      <c r="D658" s="13"/>
      <c r="E658" s="13"/>
      <c r="F658" s="13"/>
      <c r="G658" s="13"/>
      <c r="H658" s="13"/>
      <c r="I658" s="13"/>
      <c r="J658" s="13"/>
      <c r="K658" s="13"/>
      <c r="L658" s="13"/>
      <c r="M658" s="13"/>
      <c r="N658" s="98"/>
      <c r="O658" s="98"/>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row>
    <row r="659">
      <c r="A659" s="13"/>
      <c r="B659" s="84"/>
      <c r="C659" s="13"/>
      <c r="D659" s="13"/>
      <c r="E659" s="13"/>
      <c r="F659" s="13"/>
      <c r="G659" s="13"/>
      <c r="H659" s="13"/>
      <c r="I659" s="13"/>
      <c r="J659" s="13"/>
      <c r="K659" s="13"/>
      <c r="L659" s="13"/>
      <c r="M659" s="13"/>
      <c r="N659" s="98"/>
      <c r="O659" s="98"/>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row>
    <row r="660">
      <c r="A660" s="13"/>
      <c r="B660" s="84"/>
      <c r="C660" s="13"/>
      <c r="D660" s="13"/>
      <c r="E660" s="13"/>
      <c r="F660" s="13"/>
      <c r="G660" s="13"/>
      <c r="H660" s="13"/>
      <c r="I660" s="13"/>
      <c r="J660" s="13"/>
      <c r="K660" s="13"/>
      <c r="L660" s="13"/>
      <c r="M660" s="13"/>
      <c r="N660" s="98"/>
      <c r="O660" s="98"/>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row>
    <row r="661">
      <c r="A661" s="13"/>
      <c r="B661" s="84"/>
      <c r="C661" s="13"/>
      <c r="D661" s="13"/>
      <c r="E661" s="13"/>
      <c r="F661" s="13"/>
      <c r="G661" s="13"/>
      <c r="H661" s="13"/>
      <c r="I661" s="13"/>
      <c r="J661" s="13"/>
      <c r="K661" s="13"/>
      <c r="L661" s="13"/>
      <c r="M661" s="13"/>
      <c r="N661" s="98"/>
      <c r="O661" s="98"/>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row>
    <row r="662">
      <c r="A662" s="13"/>
      <c r="B662" s="84"/>
      <c r="C662" s="13"/>
      <c r="D662" s="13"/>
      <c r="E662" s="13"/>
      <c r="F662" s="13"/>
      <c r="G662" s="13"/>
      <c r="H662" s="13"/>
      <c r="I662" s="13"/>
      <c r="J662" s="13"/>
      <c r="K662" s="13"/>
      <c r="L662" s="13"/>
      <c r="M662" s="13"/>
      <c r="N662" s="98"/>
      <c r="O662" s="98"/>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row>
    <row r="663">
      <c r="A663" s="13"/>
      <c r="B663" s="84"/>
      <c r="C663" s="13"/>
      <c r="D663" s="13"/>
      <c r="E663" s="13"/>
      <c r="F663" s="13"/>
      <c r="G663" s="13"/>
      <c r="H663" s="13"/>
      <c r="I663" s="13"/>
      <c r="J663" s="13"/>
      <c r="K663" s="13"/>
      <c r="L663" s="13"/>
      <c r="M663" s="13"/>
      <c r="N663" s="98"/>
      <c r="O663" s="98"/>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row>
    <row r="664">
      <c r="A664" s="13"/>
      <c r="B664" s="84"/>
      <c r="C664" s="13"/>
      <c r="D664" s="13"/>
      <c r="E664" s="13"/>
      <c r="F664" s="13"/>
      <c r="G664" s="13"/>
      <c r="H664" s="13"/>
      <c r="I664" s="13"/>
      <c r="J664" s="13"/>
      <c r="K664" s="13"/>
      <c r="L664" s="13"/>
      <c r="M664" s="13"/>
      <c r="N664" s="98"/>
      <c r="O664" s="98"/>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row>
    <row r="665">
      <c r="A665" s="13"/>
      <c r="B665" s="84"/>
      <c r="C665" s="13"/>
      <c r="D665" s="13"/>
      <c r="E665" s="13"/>
      <c r="F665" s="13"/>
      <c r="G665" s="13"/>
      <c r="H665" s="13"/>
      <c r="I665" s="13"/>
      <c r="J665" s="13"/>
      <c r="K665" s="13"/>
      <c r="L665" s="13"/>
      <c r="M665" s="13"/>
      <c r="N665" s="98"/>
      <c r="O665" s="98"/>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row>
    <row r="666">
      <c r="A666" s="13"/>
      <c r="B666" s="84"/>
      <c r="C666" s="13"/>
      <c r="D666" s="13"/>
      <c r="E666" s="13"/>
      <c r="F666" s="13"/>
      <c r="G666" s="13"/>
      <c r="H666" s="13"/>
      <c r="I666" s="13"/>
      <c r="J666" s="13"/>
      <c r="K666" s="13"/>
      <c r="L666" s="13"/>
      <c r="M666" s="13"/>
      <c r="N666" s="98"/>
      <c r="O666" s="98"/>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row>
    <row r="667">
      <c r="A667" s="13"/>
      <c r="B667" s="84"/>
      <c r="C667" s="13"/>
      <c r="D667" s="13"/>
      <c r="E667" s="13"/>
      <c r="F667" s="13"/>
      <c r="G667" s="13"/>
      <c r="H667" s="13"/>
      <c r="I667" s="13"/>
      <c r="J667" s="13"/>
      <c r="K667" s="13"/>
      <c r="L667" s="13"/>
      <c r="M667" s="13"/>
      <c r="N667" s="98"/>
      <c r="O667" s="98"/>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row>
    <row r="668">
      <c r="A668" s="13"/>
      <c r="B668" s="84"/>
      <c r="C668" s="13"/>
      <c r="D668" s="13"/>
      <c r="E668" s="13"/>
      <c r="F668" s="13"/>
      <c r="G668" s="13"/>
      <c r="H668" s="13"/>
      <c r="I668" s="13"/>
      <c r="J668" s="13"/>
      <c r="K668" s="13"/>
      <c r="L668" s="13"/>
      <c r="M668" s="13"/>
      <c r="N668" s="98"/>
      <c r="O668" s="98"/>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row>
    <row r="669">
      <c r="A669" s="13"/>
      <c r="B669" s="84"/>
      <c r="C669" s="13"/>
      <c r="D669" s="13"/>
      <c r="E669" s="13"/>
      <c r="F669" s="13"/>
      <c r="G669" s="13"/>
      <c r="H669" s="13"/>
      <c r="I669" s="13"/>
      <c r="J669" s="13"/>
      <c r="K669" s="13"/>
      <c r="L669" s="13"/>
      <c r="M669" s="13"/>
      <c r="N669" s="98"/>
      <c r="O669" s="98"/>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row>
    <row r="670">
      <c r="A670" s="13"/>
      <c r="B670" s="84"/>
      <c r="C670" s="13"/>
      <c r="D670" s="13"/>
      <c r="E670" s="13"/>
      <c r="F670" s="13"/>
      <c r="G670" s="13"/>
      <c r="H670" s="13"/>
      <c r="I670" s="13"/>
      <c r="J670" s="13"/>
      <c r="K670" s="13"/>
      <c r="L670" s="13"/>
      <c r="M670" s="13"/>
      <c r="N670" s="98"/>
      <c r="O670" s="98"/>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row>
    <row r="671">
      <c r="A671" s="13"/>
      <c r="B671" s="84"/>
      <c r="C671" s="13"/>
      <c r="D671" s="13"/>
      <c r="E671" s="13"/>
      <c r="F671" s="13"/>
      <c r="G671" s="13"/>
      <c r="H671" s="13"/>
      <c r="I671" s="13"/>
      <c r="J671" s="13"/>
      <c r="K671" s="13"/>
      <c r="L671" s="13"/>
      <c r="M671" s="13"/>
      <c r="N671" s="98"/>
      <c r="O671" s="98"/>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row>
    <row r="672">
      <c r="A672" s="13"/>
      <c r="B672" s="84"/>
      <c r="C672" s="13"/>
      <c r="D672" s="13"/>
      <c r="E672" s="13"/>
      <c r="F672" s="13"/>
      <c r="G672" s="13"/>
      <c r="H672" s="13"/>
      <c r="I672" s="13"/>
      <c r="J672" s="13"/>
      <c r="K672" s="13"/>
      <c r="L672" s="13"/>
      <c r="M672" s="13"/>
      <c r="N672" s="98"/>
      <c r="O672" s="98"/>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row>
    <row r="673">
      <c r="A673" s="13"/>
      <c r="B673" s="84"/>
      <c r="C673" s="13"/>
      <c r="D673" s="13"/>
      <c r="E673" s="13"/>
      <c r="F673" s="13"/>
      <c r="G673" s="13"/>
      <c r="H673" s="13"/>
      <c r="I673" s="13"/>
      <c r="J673" s="13"/>
      <c r="K673" s="13"/>
      <c r="L673" s="13"/>
      <c r="M673" s="13"/>
      <c r="N673" s="98"/>
      <c r="O673" s="98"/>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row>
    <row r="674">
      <c r="A674" s="13"/>
      <c r="B674" s="84"/>
      <c r="C674" s="13"/>
      <c r="D674" s="13"/>
      <c r="E674" s="13"/>
      <c r="F674" s="13"/>
      <c r="G674" s="13"/>
      <c r="H674" s="13"/>
      <c r="I674" s="13"/>
      <c r="J674" s="13"/>
      <c r="K674" s="13"/>
      <c r="L674" s="13"/>
      <c r="M674" s="13"/>
      <c r="N674" s="98"/>
      <c r="O674" s="98"/>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row>
    <row r="675">
      <c r="A675" s="13"/>
      <c r="B675" s="84"/>
      <c r="C675" s="13"/>
      <c r="D675" s="13"/>
      <c r="E675" s="13"/>
      <c r="F675" s="13"/>
      <c r="G675" s="13"/>
      <c r="H675" s="13"/>
      <c r="I675" s="13"/>
      <c r="J675" s="13"/>
      <c r="K675" s="13"/>
      <c r="L675" s="13"/>
      <c r="M675" s="13"/>
      <c r="N675" s="98"/>
      <c r="O675" s="98"/>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row>
    <row r="676">
      <c r="A676" s="13"/>
      <c r="B676" s="84"/>
      <c r="C676" s="13"/>
      <c r="D676" s="13"/>
      <c r="E676" s="13"/>
      <c r="F676" s="13"/>
      <c r="G676" s="13"/>
      <c r="H676" s="13"/>
      <c r="I676" s="13"/>
      <c r="J676" s="13"/>
      <c r="K676" s="13"/>
      <c r="L676" s="13"/>
      <c r="M676" s="13"/>
      <c r="N676" s="98"/>
      <c r="O676" s="98"/>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row>
    <row r="677">
      <c r="A677" s="13"/>
      <c r="B677" s="84"/>
      <c r="C677" s="13"/>
      <c r="D677" s="13"/>
      <c r="E677" s="13"/>
      <c r="F677" s="13"/>
      <c r="G677" s="13"/>
      <c r="H677" s="13"/>
      <c r="I677" s="13"/>
      <c r="J677" s="13"/>
      <c r="K677" s="13"/>
      <c r="L677" s="13"/>
      <c r="M677" s="13"/>
      <c r="N677" s="98"/>
      <c r="O677" s="98"/>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row>
    <row r="678">
      <c r="A678" s="13"/>
      <c r="B678" s="84"/>
      <c r="C678" s="13"/>
      <c r="D678" s="13"/>
      <c r="E678" s="13"/>
      <c r="F678" s="13"/>
      <c r="G678" s="13"/>
      <c r="H678" s="13"/>
      <c r="I678" s="13"/>
      <c r="J678" s="13"/>
      <c r="K678" s="13"/>
      <c r="L678" s="13"/>
      <c r="M678" s="13"/>
      <c r="N678" s="98"/>
      <c r="O678" s="98"/>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row>
    <row r="679">
      <c r="A679" s="13"/>
      <c r="B679" s="84"/>
      <c r="C679" s="13"/>
      <c r="D679" s="13"/>
      <c r="E679" s="13"/>
      <c r="F679" s="13"/>
      <c r="G679" s="13"/>
      <c r="H679" s="13"/>
      <c r="I679" s="13"/>
      <c r="J679" s="13"/>
      <c r="K679" s="13"/>
      <c r="L679" s="13"/>
      <c r="M679" s="13"/>
      <c r="N679" s="98"/>
      <c r="O679" s="98"/>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row>
    <row r="680">
      <c r="A680" s="13"/>
      <c r="B680" s="84"/>
      <c r="C680" s="13"/>
      <c r="D680" s="13"/>
      <c r="E680" s="13"/>
      <c r="F680" s="13"/>
      <c r="G680" s="13"/>
      <c r="H680" s="13"/>
      <c r="I680" s="13"/>
      <c r="J680" s="13"/>
      <c r="K680" s="13"/>
      <c r="L680" s="13"/>
      <c r="M680" s="13"/>
      <c r="N680" s="98"/>
      <c r="O680" s="98"/>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row>
    <row r="681">
      <c r="A681" s="13"/>
      <c r="B681" s="84"/>
      <c r="C681" s="13"/>
      <c r="D681" s="13"/>
      <c r="E681" s="13"/>
      <c r="F681" s="13"/>
      <c r="G681" s="13"/>
      <c r="H681" s="13"/>
      <c r="I681" s="13"/>
      <c r="J681" s="13"/>
      <c r="K681" s="13"/>
      <c r="L681" s="13"/>
      <c r="M681" s="13"/>
      <c r="N681" s="98"/>
      <c r="O681" s="98"/>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row>
    <row r="682">
      <c r="A682" s="13"/>
      <c r="B682" s="84"/>
      <c r="C682" s="13"/>
      <c r="D682" s="13"/>
      <c r="E682" s="13"/>
      <c r="F682" s="13"/>
      <c r="G682" s="13"/>
      <c r="H682" s="13"/>
      <c r="I682" s="13"/>
      <c r="J682" s="13"/>
      <c r="K682" s="13"/>
      <c r="L682" s="13"/>
      <c r="M682" s="13"/>
      <c r="N682" s="98"/>
      <c r="O682" s="98"/>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row>
    <row r="683">
      <c r="A683" s="13"/>
      <c r="B683" s="84"/>
      <c r="C683" s="13"/>
      <c r="D683" s="13"/>
      <c r="E683" s="13"/>
      <c r="F683" s="13"/>
      <c r="G683" s="13"/>
      <c r="H683" s="13"/>
      <c r="I683" s="13"/>
      <c r="J683" s="13"/>
      <c r="K683" s="13"/>
      <c r="L683" s="13"/>
      <c r="M683" s="13"/>
      <c r="N683" s="98"/>
      <c r="O683" s="98"/>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row>
    <row r="684">
      <c r="A684" s="13"/>
      <c r="B684" s="84"/>
      <c r="C684" s="13"/>
      <c r="D684" s="13"/>
      <c r="E684" s="13"/>
      <c r="F684" s="13"/>
      <c r="G684" s="13"/>
      <c r="H684" s="13"/>
      <c r="I684" s="13"/>
      <c r="J684" s="13"/>
      <c r="K684" s="13"/>
      <c r="L684" s="13"/>
      <c r="M684" s="13"/>
      <c r="N684" s="98"/>
      <c r="O684" s="98"/>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row>
    <row r="685">
      <c r="A685" s="13"/>
      <c r="B685" s="84"/>
      <c r="C685" s="13"/>
      <c r="D685" s="13"/>
      <c r="E685" s="13"/>
      <c r="F685" s="13"/>
      <c r="G685" s="13"/>
      <c r="H685" s="13"/>
      <c r="I685" s="13"/>
      <c r="J685" s="13"/>
      <c r="K685" s="13"/>
      <c r="L685" s="13"/>
      <c r="M685" s="13"/>
      <c r="N685" s="98"/>
      <c r="O685" s="98"/>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row>
    <row r="686">
      <c r="A686" s="13"/>
      <c r="B686" s="84"/>
      <c r="C686" s="13"/>
      <c r="D686" s="13"/>
      <c r="E686" s="13"/>
      <c r="F686" s="13"/>
      <c r="G686" s="13"/>
      <c r="H686" s="13"/>
      <c r="I686" s="13"/>
      <c r="J686" s="13"/>
      <c r="K686" s="13"/>
      <c r="L686" s="13"/>
      <c r="M686" s="13"/>
      <c r="N686" s="98"/>
      <c r="O686" s="98"/>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row>
    <row r="687">
      <c r="A687" s="13"/>
      <c r="B687" s="84"/>
      <c r="C687" s="13"/>
      <c r="D687" s="13"/>
      <c r="E687" s="13"/>
      <c r="F687" s="13"/>
      <c r="G687" s="13"/>
      <c r="H687" s="13"/>
      <c r="I687" s="13"/>
      <c r="J687" s="13"/>
      <c r="K687" s="13"/>
      <c r="L687" s="13"/>
      <c r="M687" s="13"/>
      <c r="N687" s="98"/>
      <c r="O687" s="98"/>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row>
    <row r="688">
      <c r="A688" s="13"/>
      <c r="B688" s="84"/>
      <c r="C688" s="13"/>
      <c r="D688" s="13"/>
      <c r="E688" s="13"/>
      <c r="F688" s="13"/>
      <c r="G688" s="13"/>
      <c r="H688" s="13"/>
      <c r="I688" s="13"/>
      <c r="J688" s="13"/>
      <c r="K688" s="13"/>
      <c r="L688" s="13"/>
      <c r="M688" s="13"/>
      <c r="N688" s="98"/>
      <c r="O688" s="98"/>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row>
    <row r="689">
      <c r="A689" s="13"/>
      <c r="B689" s="84"/>
      <c r="C689" s="13"/>
      <c r="D689" s="13"/>
      <c r="E689" s="13"/>
      <c r="F689" s="13"/>
      <c r="G689" s="13"/>
      <c r="H689" s="13"/>
      <c r="I689" s="13"/>
      <c r="J689" s="13"/>
      <c r="K689" s="13"/>
      <c r="L689" s="13"/>
      <c r="M689" s="13"/>
      <c r="N689" s="98"/>
      <c r="O689" s="98"/>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row>
    <row r="690">
      <c r="A690" s="13"/>
      <c r="B690" s="84"/>
      <c r="C690" s="13"/>
      <c r="D690" s="13"/>
      <c r="E690" s="13"/>
      <c r="F690" s="13"/>
      <c r="G690" s="13"/>
      <c r="H690" s="13"/>
      <c r="I690" s="13"/>
      <c r="J690" s="13"/>
      <c r="K690" s="13"/>
      <c r="L690" s="13"/>
      <c r="M690" s="13"/>
      <c r="N690" s="98"/>
      <c r="O690" s="98"/>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row>
    <row r="691">
      <c r="A691" s="13"/>
      <c r="B691" s="84"/>
      <c r="C691" s="13"/>
      <c r="D691" s="13"/>
      <c r="E691" s="13"/>
      <c r="F691" s="13"/>
      <c r="G691" s="13"/>
      <c r="H691" s="13"/>
      <c r="I691" s="13"/>
      <c r="J691" s="13"/>
      <c r="K691" s="13"/>
      <c r="L691" s="13"/>
      <c r="M691" s="13"/>
      <c r="N691" s="98"/>
      <c r="O691" s="98"/>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row>
    <row r="692">
      <c r="A692" s="13"/>
      <c r="B692" s="84"/>
      <c r="C692" s="13"/>
      <c r="D692" s="13"/>
      <c r="E692" s="13"/>
      <c r="F692" s="13"/>
      <c r="G692" s="13"/>
      <c r="H692" s="13"/>
      <c r="I692" s="13"/>
      <c r="J692" s="13"/>
      <c r="K692" s="13"/>
      <c r="L692" s="13"/>
      <c r="M692" s="13"/>
      <c r="N692" s="98"/>
      <c r="O692" s="98"/>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row>
    <row r="693">
      <c r="A693" s="13"/>
      <c r="B693" s="84"/>
      <c r="C693" s="13"/>
      <c r="D693" s="13"/>
      <c r="E693" s="13"/>
      <c r="F693" s="13"/>
      <c r="G693" s="13"/>
      <c r="H693" s="13"/>
      <c r="I693" s="13"/>
      <c r="J693" s="13"/>
      <c r="K693" s="13"/>
      <c r="L693" s="13"/>
      <c r="M693" s="13"/>
      <c r="N693" s="98"/>
      <c r="O693" s="98"/>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row>
    <row r="694">
      <c r="A694" s="13"/>
      <c r="B694" s="84"/>
      <c r="C694" s="13"/>
      <c r="D694" s="13"/>
      <c r="E694" s="13"/>
      <c r="F694" s="13"/>
      <c r="G694" s="13"/>
      <c r="H694" s="13"/>
      <c r="I694" s="13"/>
      <c r="J694" s="13"/>
      <c r="K694" s="13"/>
      <c r="L694" s="13"/>
      <c r="M694" s="13"/>
      <c r="N694" s="98"/>
      <c r="O694" s="98"/>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row>
    <row r="695">
      <c r="A695" s="13"/>
      <c r="B695" s="84"/>
      <c r="C695" s="13"/>
      <c r="D695" s="13"/>
      <c r="E695" s="13"/>
      <c r="F695" s="13"/>
      <c r="G695" s="13"/>
      <c r="H695" s="13"/>
      <c r="I695" s="13"/>
      <c r="J695" s="13"/>
      <c r="K695" s="13"/>
      <c r="L695" s="13"/>
      <c r="M695" s="13"/>
      <c r="N695" s="98"/>
      <c r="O695" s="98"/>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row>
    <row r="696">
      <c r="A696" s="13"/>
      <c r="B696" s="84"/>
      <c r="C696" s="13"/>
      <c r="D696" s="13"/>
      <c r="E696" s="13"/>
      <c r="F696" s="13"/>
      <c r="G696" s="13"/>
      <c r="H696" s="13"/>
      <c r="I696" s="13"/>
      <c r="J696" s="13"/>
      <c r="K696" s="13"/>
      <c r="L696" s="13"/>
      <c r="M696" s="13"/>
      <c r="N696" s="98"/>
      <c r="O696" s="98"/>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row>
    <row r="697">
      <c r="A697" s="13"/>
      <c r="B697" s="84"/>
      <c r="C697" s="13"/>
      <c r="D697" s="13"/>
      <c r="E697" s="13"/>
      <c r="F697" s="13"/>
      <c r="G697" s="13"/>
      <c r="H697" s="13"/>
      <c r="I697" s="13"/>
      <c r="J697" s="13"/>
      <c r="K697" s="13"/>
      <c r="L697" s="13"/>
      <c r="M697" s="13"/>
      <c r="N697" s="98"/>
      <c r="O697" s="98"/>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row>
    <row r="698">
      <c r="A698" s="13"/>
      <c r="B698" s="84"/>
      <c r="C698" s="13"/>
      <c r="D698" s="13"/>
      <c r="E698" s="13"/>
      <c r="F698" s="13"/>
      <c r="G698" s="13"/>
      <c r="H698" s="13"/>
      <c r="I698" s="13"/>
      <c r="J698" s="13"/>
      <c r="K698" s="13"/>
      <c r="L698" s="13"/>
      <c r="M698" s="13"/>
      <c r="N698" s="98"/>
      <c r="O698" s="98"/>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row>
    <row r="699">
      <c r="A699" s="13"/>
      <c r="B699" s="84"/>
      <c r="C699" s="13"/>
      <c r="D699" s="13"/>
      <c r="E699" s="13"/>
      <c r="F699" s="13"/>
      <c r="G699" s="13"/>
      <c r="H699" s="13"/>
      <c r="I699" s="13"/>
      <c r="J699" s="13"/>
      <c r="K699" s="13"/>
      <c r="L699" s="13"/>
      <c r="M699" s="13"/>
      <c r="N699" s="98"/>
      <c r="O699" s="98"/>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row>
    <row r="700">
      <c r="A700" s="13"/>
      <c r="B700" s="84"/>
      <c r="C700" s="13"/>
      <c r="D700" s="13"/>
      <c r="E700" s="13"/>
      <c r="F700" s="13"/>
      <c r="G700" s="13"/>
      <c r="H700" s="13"/>
      <c r="I700" s="13"/>
      <c r="J700" s="13"/>
      <c r="K700" s="13"/>
      <c r="L700" s="13"/>
      <c r="M700" s="13"/>
      <c r="N700" s="98"/>
      <c r="O700" s="98"/>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row>
    <row r="701">
      <c r="A701" s="13"/>
      <c r="B701" s="84"/>
      <c r="C701" s="13"/>
      <c r="D701" s="13"/>
      <c r="E701" s="13"/>
      <c r="F701" s="13"/>
      <c r="G701" s="13"/>
      <c r="H701" s="13"/>
      <c r="I701" s="13"/>
      <c r="J701" s="13"/>
      <c r="K701" s="13"/>
      <c r="L701" s="13"/>
      <c r="M701" s="13"/>
      <c r="N701" s="98"/>
      <c r="O701" s="98"/>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row>
    <row r="702">
      <c r="A702" s="13"/>
      <c r="B702" s="84"/>
      <c r="C702" s="13"/>
      <c r="D702" s="13"/>
      <c r="E702" s="13"/>
      <c r="F702" s="13"/>
      <c r="G702" s="13"/>
      <c r="H702" s="13"/>
      <c r="I702" s="13"/>
      <c r="J702" s="13"/>
      <c r="K702" s="13"/>
      <c r="L702" s="13"/>
      <c r="M702" s="13"/>
      <c r="N702" s="98"/>
      <c r="O702" s="98"/>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row>
    <row r="703">
      <c r="A703" s="13"/>
      <c r="B703" s="84"/>
      <c r="C703" s="13"/>
      <c r="D703" s="13"/>
      <c r="E703" s="13"/>
      <c r="F703" s="13"/>
      <c r="G703" s="13"/>
      <c r="H703" s="13"/>
      <c r="I703" s="13"/>
      <c r="J703" s="13"/>
      <c r="K703" s="13"/>
      <c r="L703" s="13"/>
      <c r="M703" s="13"/>
      <c r="N703" s="98"/>
      <c r="O703" s="98"/>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row>
    <row r="704">
      <c r="A704" s="13"/>
      <c r="B704" s="84"/>
      <c r="C704" s="13"/>
      <c r="D704" s="13"/>
      <c r="E704" s="13"/>
      <c r="F704" s="13"/>
      <c r="G704" s="13"/>
      <c r="H704" s="13"/>
      <c r="I704" s="13"/>
      <c r="J704" s="13"/>
      <c r="K704" s="13"/>
      <c r="L704" s="13"/>
      <c r="M704" s="13"/>
      <c r="N704" s="98"/>
      <c r="O704" s="98"/>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row>
    <row r="705">
      <c r="A705" s="13"/>
      <c r="B705" s="84"/>
      <c r="C705" s="13"/>
      <c r="D705" s="13"/>
      <c r="E705" s="13"/>
      <c r="F705" s="13"/>
      <c r="G705" s="13"/>
      <c r="H705" s="13"/>
      <c r="I705" s="13"/>
      <c r="J705" s="13"/>
      <c r="K705" s="13"/>
      <c r="L705" s="13"/>
      <c r="M705" s="13"/>
      <c r="N705" s="98"/>
      <c r="O705" s="98"/>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row>
    <row r="706">
      <c r="A706" s="13"/>
      <c r="B706" s="84"/>
      <c r="C706" s="13"/>
      <c r="D706" s="13"/>
      <c r="E706" s="13"/>
      <c r="F706" s="13"/>
      <c r="G706" s="13"/>
      <c r="H706" s="13"/>
      <c r="I706" s="13"/>
      <c r="J706" s="13"/>
      <c r="K706" s="13"/>
      <c r="L706" s="13"/>
      <c r="M706" s="13"/>
      <c r="N706" s="98"/>
      <c r="O706" s="98"/>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row>
    <row r="707">
      <c r="A707" s="13"/>
      <c r="B707" s="84"/>
      <c r="C707" s="13"/>
      <c r="D707" s="13"/>
      <c r="E707" s="13"/>
      <c r="F707" s="13"/>
      <c r="G707" s="13"/>
      <c r="H707" s="13"/>
      <c r="I707" s="13"/>
      <c r="J707" s="13"/>
      <c r="K707" s="13"/>
      <c r="L707" s="13"/>
      <c r="M707" s="13"/>
      <c r="N707" s="98"/>
      <c r="O707" s="98"/>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row>
    <row r="708">
      <c r="A708" s="13"/>
      <c r="B708" s="84"/>
      <c r="C708" s="13"/>
      <c r="D708" s="13"/>
      <c r="E708" s="13"/>
      <c r="F708" s="13"/>
      <c r="G708" s="13"/>
      <c r="H708" s="13"/>
      <c r="I708" s="13"/>
      <c r="J708" s="13"/>
      <c r="K708" s="13"/>
      <c r="L708" s="13"/>
      <c r="M708" s="13"/>
      <c r="N708" s="98"/>
      <c r="O708" s="98"/>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row>
    <row r="709">
      <c r="A709" s="13"/>
      <c r="B709" s="84"/>
      <c r="C709" s="13"/>
      <c r="D709" s="13"/>
      <c r="E709" s="13"/>
      <c r="F709" s="13"/>
      <c r="G709" s="13"/>
      <c r="H709" s="13"/>
      <c r="I709" s="13"/>
      <c r="J709" s="13"/>
      <c r="K709" s="13"/>
      <c r="L709" s="13"/>
      <c r="M709" s="13"/>
      <c r="N709" s="98"/>
      <c r="O709" s="98"/>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row>
    <row r="710">
      <c r="A710" s="13"/>
      <c r="B710" s="84"/>
      <c r="C710" s="13"/>
      <c r="D710" s="13"/>
      <c r="E710" s="13"/>
      <c r="F710" s="13"/>
      <c r="G710" s="13"/>
      <c r="H710" s="13"/>
      <c r="I710" s="13"/>
      <c r="J710" s="13"/>
      <c r="K710" s="13"/>
      <c r="L710" s="13"/>
      <c r="M710" s="13"/>
      <c r="N710" s="98"/>
      <c r="O710" s="98"/>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row>
    <row r="711">
      <c r="A711" s="13"/>
      <c r="B711" s="84"/>
      <c r="C711" s="13"/>
      <c r="D711" s="13"/>
      <c r="E711" s="13"/>
      <c r="F711" s="13"/>
      <c r="G711" s="13"/>
      <c r="H711" s="13"/>
      <c r="I711" s="13"/>
      <c r="J711" s="13"/>
      <c r="K711" s="13"/>
      <c r="L711" s="13"/>
      <c r="M711" s="13"/>
      <c r="N711" s="98"/>
      <c r="O711" s="98"/>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row>
    <row r="712">
      <c r="A712" s="13"/>
      <c r="B712" s="84"/>
      <c r="C712" s="13"/>
      <c r="D712" s="13"/>
      <c r="E712" s="13"/>
      <c r="F712" s="13"/>
      <c r="G712" s="13"/>
      <c r="H712" s="13"/>
      <c r="I712" s="13"/>
      <c r="J712" s="13"/>
      <c r="K712" s="13"/>
      <c r="L712" s="13"/>
      <c r="M712" s="13"/>
      <c r="N712" s="98"/>
      <c r="O712" s="98"/>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row>
    <row r="713">
      <c r="A713" s="13"/>
      <c r="B713" s="84"/>
      <c r="C713" s="13"/>
      <c r="D713" s="13"/>
      <c r="E713" s="13"/>
      <c r="F713" s="13"/>
      <c r="G713" s="13"/>
      <c r="H713" s="13"/>
      <c r="I713" s="13"/>
      <c r="J713" s="13"/>
      <c r="K713" s="13"/>
      <c r="L713" s="13"/>
      <c r="M713" s="13"/>
      <c r="N713" s="98"/>
      <c r="O713" s="98"/>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row>
    <row r="714">
      <c r="A714" s="13"/>
      <c r="B714" s="84"/>
      <c r="C714" s="13"/>
      <c r="D714" s="13"/>
      <c r="E714" s="13"/>
      <c r="F714" s="13"/>
      <c r="G714" s="13"/>
      <c r="H714" s="13"/>
      <c r="I714" s="13"/>
      <c r="J714" s="13"/>
      <c r="K714" s="13"/>
      <c r="L714" s="13"/>
      <c r="M714" s="13"/>
      <c r="N714" s="98"/>
      <c r="O714" s="98"/>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row>
    <row r="715">
      <c r="A715" s="13"/>
      <c r="B715" s="84"/>
      <c r="C715" s="13"/>
      <c r="D715" s="13"/>
      <c r="E715" s="13"/>
      <c r="F715" s="13"/>
      <c r="G715" s="13"/>
      <c r="H715" s="13"/>
      <c r="I715" s="13"/>
      <c r="J715" s="13"/>
      <c r="K715" s="13"/>
      <c r="L715" s="13"/>
      <c r="M715" s="13"/>
      <c r="N715" s="98"/>
      <c r="O715" s="98"/>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row>
    <row r="716">
      <c r="A716" s="13"/>
      <c r="B716" s="84"/>
      <c r="C716" s="13"/>
      <c r="D716" s="13"/>
      <c r="E716" s="13"/>
      <c r="F716" s="13"/>
      <c r="G716" s="13"/>
      <c r="H716" s="13"/>
      <c r="I716" s="13"/>
      <c r="J716" s="13"/>
      <c r="K716" s="13"/>
      <c r="L716" s="13"/>
      <c r="M716" s="13"/>
      <c r="N716" s="98"/>
      <c r="O716" s="98"/>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row>
    <row r="717">
      <c r="A717" s="13"/>
      <c r="B717" s="84"/>
      <c r="C717" s="13"/>
      <c r="D717" s="13"/>
      <c r="E717" s="13"/>
      <c r="F717" s="13"/>
      <c r="G717" s="13"/>
      <c r="H717" s="13"/>
      <c r="I717" s="13"/>
      <c r="J717" s="13"/>
      <c r="K717" s="13"/>
      <c r="L717" s="13"/>
      <c r="M717" s="13"/>
      <c r="N717" s="98"/>
      <c r="O717" s="98"/>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row>
    <row r="718">
      <c r="A718" s="13"/>
      <c r="B718" s="84"/>
      <c r="C718" s="13"/>
      <c r="D718" s="13"/>
      <c r="E718" s="13"/>
      <c r="F718" s="13"/>
      <c r="G718" s="13"/>
      <c r="H718" s="13"/>
      <c r="I718" s="13"/>
      <c r="J718" s="13"/>
      <c r="K718" s="13"/>
      <c r="L718" s="13"/>
      <c r="M718" s="13"/>
      <c r="N718" s="98"/>
      <c r="O718" s="98"/>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row>
    <row r="719">
      <c r="A719" s="13"/>
      <c r="B719" s="84"/>
      <c r="C719" s="13"/>
      <c r="D719" s="13"/>
      <c r="E719" s="13"/>
      <c r="F719" s="13"/>
      <c r="G719" s="13"/>
      <c r="H719" s="13"/>
      <c r="I719" s="13"/>
      <c r="J719" s="13"/>
      <c r="K719" s="13"/>
      <c r="L719" s="13"/>
      <c r="M719" s="13"/>
      <c r="N719" s="98"/>
      <c r="O719" s="98"/>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row>
    <row r="720">
      <c r="A720" s="13"/>
      <c r="B720" s="84"/>
      <c r="C720" s="13"/>
      <c r="D720" s="13"/>
      <c r="E720" s="13"/>
      <c r="F720" s="13"/>
      <c r="G720" s="13"/>
      <c r="H720" s="13"/>
      <c r="I720" s="13"/>
      <c r="J720" s="13"/>
      <c r="K720" s="13"/>
      <c r="L720" s="13"/>
      <c r="M720" s="13"/>
      <c r="N720" s="98"/>
      <c r="O720" s="98"/>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row>
    <row r="721">
      <c r="A721" s="13"/>
      <c r="B721" s="84"/>
      <c r="C721" s="13"/>
      <c r="D721" s="13"/>
      <c r="E721" s="13"/>
      <c r="F721" s="13"/>
      <c r="G721" s="13"/>
      <c r="H721" s="13"/>
      <c r="I721" s="13"/>
      <c r="J721" s="13"/>
      <c r="K721" s="13"/>
      <c r="L721" s="13"/>
      <c r="M721" s="13"/>
      <c r="N721" s="98"/>
      <c r="O721" s="98"/>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row>
    <row r="722">
      <c r="A722" s="13"/>
      <c r="B722" s="84"/>
      <c r="C722" s="13"/>
      <c r="D722" s="13"/>
      <c r="E722" s="13"/>
      <c r="F722" s="13"/>
      <c r="G722" s="13"/>
      <c r="H722" s="13"/>
      <c r="I722" s="13"/>
      <c r="J722" s="13"/>
      <c r="K722" s="13"/>
      <c r="L722" s="13"/>
      <c r="M722" s="13"/>
      <c r="N722" s="98"/>
      <c r="O722" s="98"/>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row>
    <row r="723">
      <c r="A723" s="13"/>
      <c r="B723" s="84"/>
      <c r="C723" s="13"/>
      <c r="D723" s="13"/>
      <c r="E723" s="13"/>
      <c r="F723" s="13"/>
      <c r="G723" s="13"/>
      <c r="H723" s="13"/>
      <c r="I723" s="13"/>
      <c r="J723" s="13"/>
      <c r="K723" s="13"/>
      <c r="L723" s="13"/>
      <c r="M723" s="13"/>
      <c r="N723" s="98"/>
      <c r="O723" s="98"/>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row>
    <row r="724">
      <c r="A724" s="13"/>
      <c r="B724" s="84"/>
      <c r="C724" s="13"/>
      <c r="D724" s="13"/>
      <c r="E724" s="13"/>
      <c r="F724" s="13"/>
      <c r="G724" s="13"/>
      <c r="H724" s="13"/>
      <c r="I724" s="13"/>
      <c r="J724" s="13"/>
      <c r="K724" s="13"/>
      <c r="L724" s="13"/>
      <c r="M724" s="13"/>
      <c r="N724" s="98"/>
      <c r="O724" s="98"/>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row>
    <row r="725">
      <c r="A725" s="13"/>
      <c r="B725" s="84"/>
      <c r="C725" s="13"/>
      <c r="D725" s="13"/>
      <c r="E725" s="13"/>
      <c r="F725" s="13"/>
      <c r="G725" s="13"/>
      <c r="H725" s="13"/>
      <c r="I725" s="13"/>
      <c r="J725" s="13"/>
      <c r="K725" s="13"/>
      <c r="L725" s="13"/>
      <c r="M725" s="13"/>
      <c r="N725" s="98"/>
      <c r="O725" s="98"/>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row>
    <row r="726">
      <c r="A726" s="13"/>
      <c r="B726" s="84"/>
      <c r="C726" s="13"/>
      <c r="D726" s="13"/>
      <c r="E726" s="13"/>
      <c r="F726" s="13"/>
      <c r="G726" s="13"/>
      <c r="H726" s="13"/>
      <c r="I726" s="13"/>
      <c r="J726" s="13"/>
      <c r="K726" s="13"/>
      <c r="L726" s="13"/>
      <c r="M726" s="13"/>
      <c r="N726" s="98"/>
      <c r="O726" s="98"/>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row>
    <row r="727">
      <c r="A727" s="13"/>
      <c r="B727" s="84"/>
      <c r="C727" s="13"/>
      <c r="D727" s="13"/>
      <c r="E727" s="13"/>
      <c r="F727" s="13"/>
      <c r="G727" s="13"/>
      <c r="H727" s="13"/>
      <c r="I727" s="13"/>
      <c r="J727" s="13"/>
      <c r="K727" s="13"/>
      <c r="L727" s="13"/>
      <c r="M727" s="13"/>
      <c r="N727" s="98"/>
      <c r="O727" s="98"/>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row>
    <row r="728">
      <c r="A728" s="13"/>
      <c r="B728" s="84"/>
      <c r="C728" s="13"/>
      <c r="D728" s="13"/>
      <c r="E728" s="13"/>
      <c r="F728" s="13"/>
      <c r="G728" s="13"/>
      <c r="H728" s="13"/>
      <c r="I728" s="13"/>
      <c r="J728" s="13"/>
      <c r="K728" s="13"/>
      <c r="L728" s="13"/>
      <c r="M728" s="13"/>
      <c r="N728" s="98"/>
      <c r="O728" s="98"/>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row>
    <row r="729">
      <c r="A729" s="13"/>
      <c r="B729" s="84"/>
      <c r="C729" s="13"/>
      <c r="D729" s="13"/>
      <c r="E729" s="13"/>
      <c r="F729" s="13"/>
      <c r="G729" s="13"/>
      <c r="H729" s="13"/>
      <c r="I729" s="13"/>
      <c r="J729" s="13"/>
      <c r="K729" s="13"/>
      <c r="L729" s="13"/>
      <c r="M729" s="13"/>
      <c r="N729" s="98"/>
      <c r="O729" s="98"/>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row>
    <row r="730">
      <c r="A730" s="13"/>
      <c r="B730" s="84"/>
      <c r="C730" s="13"/>
      <c r="D730" s="13"/>
      <c r="E730" s="13"/>
      <c r="F730" s="13"/>
      <c r="G730" s="13"/>
      <c r="H730" s="13"/>
      <c r="I730" s="13"/>
      <c r="J730" s="13"/>
      <c r="K730" s="13"/>
      <c r="L730" s="13"/>
      <c r="M730" s="13"/>
      <c r="N730" s="98"/>
      <c r="O730" s="98"/>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row>
    <row r="731">
      <c r="A731" s="13"/>
      <c r="B731" s="84"/>
      <c r="C731" s="13"/>
      <c r="D731" s="13"/>
      <c r="E731" s="13"/>
      <c r="F731" s="13"/>
      <c r="G731" s="13"/>
      <c r="H731" s="13"/>
      <c r="I731" s="13"/>
      <c r="J731" s="13"/>
      <c r="K731" s="13"/>
      <c r="L731" s="13"/>
      <c r="M731" s="13"/>
      <c r="N731" s="98"/>
      <c r="O731" s="98"/>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row>
    <row r="732">
      <c r="A732" s="13"/>
      <c r="B732" s="84"/>
      <c r="C732" s="13"/>
      <c r="D732" s="13"/>
      <c r="E732" s="13"/>
      <c r="F732" s="13"/>
      <c r="G732" s="13"/>
      <c r="H732" s="13"/>
      <c r="I732" s="13"/>
      <c r="J732" s="13"/>
      <c r="K732" s="13"/>
      <c r="L732" s="13"/>
      <c r="M732" s="13"/>
      <c r="N732" s="98"/>
      <c r="O732" s="98"/>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row>
    <row r="733">
      <c r="A733" s="13"/>
      <c r="B733" s="84"/>
      <c r="C733" s="13"/>
      <c r="D733" s="13"/>
      <c r="E733" s="13"/>
      <c r="F733" s="13"/>
      <c r="G733" s="13"/>
      <c r="H733" s="13"/>
      <c r="I733" s="13"/>
      <c r="J733" s="13"/>
      <c r="K733" s="13"/>
      <c r="L733" s="13"/>
      <c r="M733" s="13"/>
      <c r="N733" s="98"/>
      <c r="O733" s="98"/>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row>
    <row r="734">
      <c r="A734" s="13"/>
      <c r="B734" s="84"/>
      <c r="C734" s="13"/>
      <c r="D734" s="13"/>
      <c r="E734" s="13"/>
      <c r="F734" s="13"/>
      <c r="G734" s="13"/>
      <c r="H734" s="13"/>
      <c r="I734" s="13"/>
      <c r="J734" s="13"/>
      <c r="K734" s="13"/>
      <c r="L734" s="13"/>
      <c r="M734" s="13"/>
      <c r="N734" s="98"/>
      <c r="O734" s="98"/>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row>
    <row r="735">
      <c r="A735" s="13"/>
      <c r="B735" s="84"/>
      <c r="C735" s="13"/>
      <c r="D735" s="13"/>
      <c r="E735" s="13"/>
      <c r="F735" s="13"/>
      <c r="G735" s="13"/>
      <c r="H735" s="13"/>
      <c r="I735" s="13"/>
      <c r="J735" s="13"/>
      <c r="K735" s="13"/>
      <c r="L735" s="13"/>
      <c r="M735" s="13"/>
      <c r="N735" s="98"/>
      <c r="O735" s="98"/>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row>
    <row r="736">
      <c r="A736" s="13"/>
      <c r="B736" s="84"/>
      <c r="C736" s="13"/>
      <c r="D736" s="13"/>
      <c r="E736" s="13"/>
      <c r="F736" s="13"/>
      <c r="G736" s="13"/>
      <c r="H736" s="13"/>
      <c r="I736" s="13"/>
      <c r="J736" s="13"/>
      <c r="K736" s="13"/>
      <c r="L736" s="13"/>
      <c r="M736" s="13"/>
      <c r="N736" s="98"/>
      <c r="O736" s="98"/>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row>
    <row r="737">
      <c r="A737" s="13"/>
      <c r="B737" s="84"/>
      <c r="C737" s="13"/>
      <c r="D737" s="13"/>
      <c r="E737" s="13"/>
      <c r="F737" s="13"/>
      <c r="G737" s="13"/>
      <c r="H737" s="13"/>
      <c r="I737" s="13"/>
      <c r="J737" s="13"/>
      <c r="K737" s="13"/>
      <c r="L737" s="13"/>
      <c r="M737" s="13"/>
      <c r="N737" s="98"/>
      <c r="O737" s="98"/>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row>
    <row r="738">
      <c r="A738" s="13"/>
      <c r="B738" s="84"/>
      <c r="C738" s="13"/>
      <c r="D738" s="13"/>
      <c r="E738" s="13"/>
      <c r="F738" s="13"/>
      <c r="G738" s="13"/>
      <c r="H738" s="13"/>
      <c r="I738" s="13"/>
      <c r="J738" s="13"/>
      <c r="K738" s="13"/>
      <c r="L738" s="13"/>
      <c r="M738" s="13"/>
      <c r="N738" s="98"/>
      <c r="O738" s="98"/>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row>
    <row r="739">
      <c r="A739" s="13"/>
      <c r="B739" s="84"/>
      <c r="C739" s="13"/>
      <c r="D739" s="13"/>
      <c r="E739" s="13"/>
      <c r="F739" s="13"/>
      <c r="G739" s="13"/>
      <c r="H739" s="13"/>
      <c r="I739" s="13"/>
      <c r="J739" s="13"/>
      <c r="K739" s="13"/>
      <c r="L739" s="13"/>
      <c r="M739" s="13"/>
      <c r="N739" s="98"/>
      <c r="O739" s="98"/>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row>
    <row r="740">
      <c r="A740" s="13"/>
      <c r="B740" s="84"/>
      <c r="C740" s="13"/>
      <c r="D740" s="13"/>
      <c r="E740" s="13"/>
      <c r="F740" s="13"/>
      <c r="G740" s="13"/>
      <c r="H740" s="13"/>
      <c r="I740" s="13"/>
      <c r="J740" s="13"/>
      <c r="K740" s="13"/>
      <c r="L740" s="13"/>
      <c r="M740" s="13"/>
      <c r="N740" s="98"/>
      <c r="O740" s="98"/>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row>
    <row r="741">
      <c r="A741" s="13"/>
      <c r="B741" s="84"/>
      <c r="C741" s="13"/>
      <c r="D741" s="13"/>
      <c r="E741" s="13"/>
      <c r="F741" s="13"/>
      <c r="G741" s="13"/>
      <c r="H741" s="13"/>
      <c r="I741" s="13"/>
      <c r="J741" s="13"/>
      <c r="K741" s="13"/>
      <c r="L741" s="13"/>
      <c r="M741" s="13"/>
      <c r="N741" s="98"/>
      <c r="O741" s="98"/>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row>
    <row r="742">
      <c r="A742" s="13"/>
      <c r="B742" s="84"/>
      <c r="C742" s="13"/>
      <c r="D742" s="13"/>
      <c r="E742" s="13"/>
      <c r="F742" s="13"/>
      <c r="G742" s="13"/>
      <c r="H742" s="13"/>
      <c r="I742" s="13"/>
      <c r="J742" s="13"/>
      <c r="K742" s="13"/>
      <c r="L742" s="13"/>
      <c r="M742" s="13"/>
      <c r="N742" s="98"/>
      <c r="O742" s="98"/>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row>
    <row r="743">
      <c r="A743" s="13"/>
      <c r="B743" s="84"/>
      <c r="C743" s="13"/>
      <c r="D743" s="13"/>
      <c r="E743" s="13"/>
      <c r="F743" s="13"/>
      <c r="G743" s="13"/>
      <c r="H743" s="13"/>
      <c r="I743" s="13"/>
      <c r="J743" s="13"/>
      <c r="K743" s="13"/>
      <c r="L743" s="13"/>
      <c r="M743" s="13"/>
      <c r="N743" s="98"/>
      <c r="O743" s="98"/>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row>
    <row r="744">
      <c r="A744" s="13"/>
      <c r="B744" s="84"/>
      <c r="C744" s="13"/>
      <c r="D744" s="13"/>
      <c r="E744" s="13"/>
      <c r="F744" s="13"/>
      <c r="G744" s="13"/>
      <c r="H744" s="13"/>
      <c r="I744" s="13"/>
      <c r="J744" s="13"/>
      <c r="K744" s="13"/>
      <c r="L744" s="13"/>
      <c r="M744" s="13"/>
      <c r="N744" s="98"/>
      <c r="O744" s="98"/>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row>
    <row r="745">
      <c r="A745" s="13"/>
      <c r="B745" s="84"/>
      <c r="C745" s="13"/>
      <c r="D745" s="13"/>
      <c r="E745" s="13"/>
      <c r="F745" s="13"/>
      <c r="G745" s="13"/>
      <c r="H745" s="13"/>
      <c r="I745" s="13"/>
      <c r="J745" s="13"/>
      <c r="K745" s="13"/>
      <c r="L745" s="13"/>
      <c r="M745" s="13"/>
      <c r="N745" s="98"/>
      <c r="O745" s="98"/>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row>
    <row r="746">
      <c r="A746" s="13"/>
      <c r="B746" s="84"/>
      <c r="C746" s="13"/>
      <c r="D746" s="13"/>
      <c r="E746" s="13"/>
      <c r="F746" s="13"/>
      <c r="G746" s="13"/>
      <c r="H746" s="13"/>
      <c r="I746" s="13"/>
      <c r="J746" s="13"/>
      <c r="K746" s="13"/>
      <c r="L746" s="13"/>
      <c r="M746" s="13"/>
      <c r="N746" s="98"/>
      <c r="O746" s="98"/>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row>
    <row r="747">
      <c r="A747" s="13"/>
      <c r="B747" s="84"/>
      <c r="C747" s="13"/>
      <c r="D747" s="13"/>
      <c r="E747" s="13"/>
      <c r="F747" s="13"/>
      <c r="G747" s="13"/>
      <c r="H747" s="13"/>
      <c r="I747" s="13"/>
      <c r="J747" s="13"/>
      <c r="K747" s="13"/>
      <c r="L747" s="13"/>
      <c r="M747" s="13"/>
      <c r="N747" s="98"/>
      <c r="O747" s="98"/>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row>
    <row r="748">
      <c r="A748" s="13"/>
      <c r="B748" s="84"/>
      <c r="C748" s="13"/>
      <c r="D748" s="13"/>
      <c r="E748" s="13"/>
      <c r="F748" s="13"/>
      <c r="G748" s="13"/>
      <c r="H748" s="13"/>
      <c r="I748" s="13"/>
      <c r="J748" s="13"/>
      <c r="K748" s="13"/>
      <c r="L748" s="13"/>
      <c r="M748" s="13"/>
      <c r="N748" s="98"/>
      <c r="O748" s="98"/>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row>
    <row r="749">
      <c r="A749" s="13"/>
      <c r="B749" s="84"/>
      <c r="C749" s="13"/>
      <c r="D749" s="13"/>
      <c r="E749" s="13"/>
      <c r="F749" s="13"/>
      <c r="G749" s="13"/>
      <c r="H749" s="13"/>
      <c r="I749" s="13"/>
      <c r="J749" s="13"/>
      <c r="K749" s="13"/>
      <c r="L749" s="13"/>
      <c r="M749" s="13"/>
      <c r="N749" s="98"/>
      <c r="O749" s="98"/>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row>
    <row r="750">
      <c r="A750" s="13"/>
      <c r="B750" s="84"/>
      <c r="C750" s="13"/>
      <c r="D750" s="13"/>
      <c r="E750" s="13"/>
      <c r="F750" s="13"/>
      <c r="G750" s="13"/>
      <c r="H750" s="13"/>
      <c r="I750" s="13"/>
      <c r="J750" s="13"/>
      <c r="K750" s="13"/>
      <c r="L750" s="13"/>
      <c r="M750" s="13"/>
      <c r="N750" s="98"/>
      <c r="O750" s="98"/>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row>
    <row r="751">
      <c r="A751" s="13"/>
      <c r="B751" s="84"/>
      <c r="C751" s="13"/>
      <c r="D751" s="13"/>
      <c r="E751" s="13"/>
      <c r="F751" s="13"/>
      <c r="G751" s="13"/>
      <c r="H751" s="13"/>
      <c r="I751" s="13"/>
      <c r="J751" s="13"/>
      <c r="K751" s="13"/>
      <c r="L751" s="13"/>
      <c r="M751" s="13"/>
      <c r="N751" s="98"/>
      <c r="O751" s="98"/>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row>
    <row r="752">
      <c r="A752" s="13"/>
      <c r="B752" s="84"/>
      <c r="C752" s="13"/>
      <c r="D752" s="13"/>
      <c r="E752" s="13"/>
      <c r="F752" s="13"/>
      <c r="G752" s="13"/>
      <c r="H752" s="13"/>
      <c r="I752" s="13"/>
      <c r="J752" s="13"/>
      <c r="K752" s="13"/>
      <c r="L752" s="13"/>
      <c r="M752" s="13"/>
      <c r="N752" s="98"/>
      <c r="O752" s="98"/>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row>
    <row r="753">
      <c r="A753" s="13"/>
      <c r="B753" s="84"/>
      <c r="C753" s="13"/>
      <c r="D753" s="13"/>
      <c r="E753" s="13"/>
      <c r="F753" s="13"/>
      <c r="G753" s="13"/>
      <c r="H753" s="13"/>
      <c r="I753" s="13"/>
      <c r="J753" s="13"/>
      <c r="K753" s="13"/>
      <c r="L753" s="13"/>
      <c r="M753" s="13"/>
      <c r="N753" s="98"/>
      <c r="O753" s="98"/>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row>
    <row r="754">
      <c r="A754" s="13"/>
      <c r="B754" s="84"/>
      <c r="C754" s="13"/>
      <c r="D754" s="13"/>
      <c r="E754" s="13"/>
      <c r="F754" s="13"/>
      <c r="G754" s="13"/>
      <c r="H754" s="13"/>
      <c r="I754" s="13"/>
      <c r="J754" s="13"/>
      <c r="K754" s="13"/>
      <c r="L754" s="13"/>
      <c r="M754" s="13"/>
      <c r="N754" s="98"/>
      <c r="O754" s="98"/>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row>
    <row r="755">
      <c r="A755" s="13"/>
      <c r="B755" s="84"/>
      <c r="C755" s="13"/>
      <c r="D755" s="13"/>
      <c r="E755" s="13"/>
      <c r="F755" s="13"/>
      <c r="G755" s="13"/>
      <c r="H755" s="13"/>
      <c r="I755" s="13"/>
      <c r="J755" s="13"/>
      <c r="K755" s="13"/>
      <c r="L755" s="13"/>
      <c r="M755" s="13"/>
      <c r="N755" s="98"/>
      <c r="O755" s="98"/>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row>
    <row r="756">
      <c r="A756" s="13"/>
      <c r="B756" s="84"/>
      <c r="C756" s="13"/>
      <c r="D756" s="13"/>
      <c r="E756" s="13"/>
      <c r="F756" s="13"/>
      <c r="G756" s="13"/>
      <c r="H756" s="13"/>
      <c r="I756" s="13"/>
      <c r="J756" s="13"/>
      <c r="K756" s="13"/>
      <c r="L756" s="13"/>
      <c r="M756" s="13"/>
      <c r="N756" s="98"/>
      <c r="O756" s="98"/>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row>
    <row r="757">
      <c r="A757" s="13"/>
      <c r="B757" s="84"/>
      <c r="C757" s="13"/>
      <c r="D757" s="13"/>
      <c r="E757" s="13"/>
      <c r="F757" s="13"/>
      <c r="G757" s="13"/>
      <c r="H757" s="13"/>
      <c r="I757" s="13"/>
      <c r="J757" s="13"/>
      <c r="K757" s="13"/>
      <c r="L757" s="13"/>
      <c r="M757" s="13"/>
      <c r="N757" s="98"/>
      <c r="O757" s="98"/>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row>
    <row r="758">
      <c r="A758" s="13"/>
      <c r="B758" s="84"/>
      <c r="C758" s="13"/>
      <c r="D758" s="13"/>
      <c r="E758" s="13"/>
      <c r="F758" s="13"/>
      <c r="G758" s="13"/>
      <c r="H758" s="13"/>
      <c r="I758" s="13"/>
      <c r="J758" s="13"/>
      <c r="K758" s="13"/>
      <c r="L758" s="13"/>
      <c r="M758" s="13"/>
      <c r="N758" s="98"/>
      <c r="O758" s="98"/>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row>
    <row r="759">
      <c r="A759" s="13"/>
      <c r="B759" s="84"/>
      <c r="C759" s="13"/>
      <c r="D759" s="13"/>
      <c r="E759" s="13"/>
      <c r="F759" s="13"/>
      <c r="G759" s="13"/>
      <c r="H759" s="13"/>
      <c r="I759" s="13"/>
      <c r="J759" s="13"/>
      <c r="K759" s="13"/>
      <c r="L759" s="13"/>
      <c r="M759" s="13"/>
      <c r="N759" s="98"/>
      <c r="O759" s="98"/>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row>
    <row r="760">
      <c r="A760" s="13"/>
      <c r="B760" s="84"/>
      <c r="C760" s="13"/>
      <c r="D760" s="13"/>
      <c r="E760" s="13"/>
      <c r="F760" s="13"/>
      <c r="G760" s="13"/>
      <c r="H760" s="13"/>
      <c r="I760" s="13"/>
      <c r="J760" s="13"/>
      <c r="K760" s="13"/>
      <c r="L760" s="13"/>
      <c r="M760" s="13"/>
      <c r="N760" s="98"/>
      <c r="O760" s="98"/>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row>
    <row r="761">
      <c r="A761" s="13"/>
      <c r="B761" s="84"/>
      <c r="C761" s="13"/>
      <c r="D761" s="13"/>
      <c r="E761" s="13"/>
      <c r="F761" s="13"/>
      <c r="G761" s="13"/>
      <c r="H761" s="13"/>
      <c r="I761" s="13"/>
      <c r="J761" s="13"/>
      <c r="K761" s="13"/>
      <c r="L761" s="13"/>
      <c r="M761" s="13"/>
      <c r="N761" s="98"/>
      <c r="O761" s="98"/>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row>
    <row r="762">
      <c r="A762" s="13"/>
      <c r="B762" s="84"/>
      <c r="C762" s="13"/>
      <c r="D762" s="13"/>
      <c r="E762" s="13"/>
      <c r="F762" s="13"/>
      <c r="G762" s="13"/>
      <c r="H762" s="13"/>
      <c r="I762" s="13"/>
      <c r="J762" s="13"/>
      <c r="K762" s="13"/>
      <c r="L762" s="13"/>
      <c r="M762" s="13"/>
      <c r="N762" s="98"/>
      <c r="O762" s="98"/>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row>
    <row r="763">
      <c r="A763" s="13"/>
      <c r="B763" s="84"/>
      <c r="C763" s="13"/>
      <c r="D763" s="13"/>
      <c r="E763" s="13"/>
      <c r="F763" s="13"/>
      <c r="G763" s="13"/>
      <c r="H763" s="13"/>
      <c r="I763" s="13"/>
      <c r="J763" s="13"/>
      <c r="K763" s="13"/>
      <c r="L763" s="13"/>
      <c r="M763" s="13"/>
      <c r="N763" s="98"/>
      <c r="O763" s="98"/>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row>
    <row r="764">
      <c r="A764" s="13"/>
      <c r="B764" s="84"/>
      <c r="C764" s="13"/>
      <c r="D764" s="13"/>
      <c r="E764" s="13"/>
      <c r="F764" s="13"/>
      <c r="G764" s="13"/>
      <c r="H764" s="13"/>
      <c r="I764" s="13"/>
      <c r="J764" s="13"/>
      <c r="K764" s="13"/>
      <c r="L764" s="13"/>
      <c r="M764" s="13"/>
      <c r="N764" s="98"/>
      <c r="O764" s="98"/>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row>
    <row r="765">
      <c r="A765" s="13"/>
      <c r="B765" s="84"/>
      <c r="C765" s="13"/>
      <c r="D765" s="13"/>
      <c r="E765" s="13"/>
      <c r="F765" s="13"/>
      <c r="G765" s="13"/>
      <c r="H765" s="13"/>
      <c r="I765" s="13"/>
      <c r="J765" s="13"/>
      <c r="K765" s="13"/>
      <c r="L765" s="13"/>
      <c r="M765" s="13"/>
      <c r="N765" s="98"/>
      <c r="O765" s="98"/>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row>
    <row r="766">
      <c r="A766" s="13"/>
      <c r="B766" s="84"/>
      <c r="C766" s="13"/>
      <c r="D766" s="13"/>
      <c r="E766" s="13"/>
      <c r="F766" s="13"/>
      <c r="G766" s="13"/>
      <c r="H766" s="13"/>
      <c r="I766" s="13"/>
      <c r="J766" s="13"/>
      <c r="K766" s="13"/>
      <c r="L766" s="13"/>
      <c r="M766" s="13"/>
      <c r="N766" s="98"/>
      <c r="O766" s="98"/>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row>
    <row r="767">
      <c r="A767" s="13"/>
      <c r="B767" s="84"/>
      <c r="C767" s="13"/>
      <c r="D767" s="13"/>
      <c r="E767" s="13"/>
      <c r="F767" s="13"/>
      <c r="G767" s="13"/>
      <c r="H767" s="13"/>
      <c r="I767" s="13"/>
      <c r="J767" s="13"/>
      <c r="K767" s="13"/>
      <c r="L767" s="13"/>
      <c r="M767" s="13"/>
      <c r="N767" s="98"/>
      <c r="O767" s="98"/>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row>
    <row r="768">
      <c r="A768" s="13"/>
      <c r="B768" s="84"/>
      <c r="C768" s="13"/>
      <c r="D768" s="13"/>
      <c r="E768" s="13"/>
      <c r="F768" s="13"/>
      <c r="G768" s="13"/>
      <c r="H768" s="13"/>
      <c r="I768" s="13"/>
      <c r="J768" s="13"/>
      <c r="K768" s="13"/>
      <c r="L768" s="13"/>
      <c r="M768" s="13"/>
      <c r="N768" s="98"/>
      <c r="O768" s="98"/>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row>
    <row r="769">
      <c r="A769" s="13"/>
      <c r="B769" s="84"/>
      <c r="C769" s="13"/>
      <c r="D769" s="13"/>
      <c r="E769" s="13"/>
      <c r="F769" s="13"/>
      <c r="G769" s="13"/>
      <c r="H769" s="13"/>
      <c r="I769" s="13"/>
      <c r="J769" s="13"/>
      <c r="K769" s="13"/>
      <c r="L769" s="13"/>
      <c r="M769" s="13"/>
      <c r="N769" s="98"/>
      <c r="O769" s="98"/>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row>
    <row r="770">
      <c r="A770" s="13"/>
      <c r="B770" s="84"/>
      <c r="C770" s="13"/>
      <c r="D770" s="13"/>
      <c r="E770" s="13"/>
      <c r="F770" s="13"/>
      <c r="G770" s="13"/>
      <c r="H770" s="13"/>
      <c r="I770" s="13"/>
      <c r="J770" s="13"/>
      <c r="K770" s="13"/>
      <c r="L770" s="13"/>
      <c r="M770" s="13"/>
      <c r="N770" s="98"/>
      <c r="O770" s="98"/>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row>
    <row r="771">
      <c r="A771" s="13"/>
      <c r="B771" s="84"/>
      <c r="C771" s="13"/>
      <c r="D771" s="13"/>
      <c r="E771" s="13"/>
      <c r="F771" s="13"/>
      <c r="G771" s="13"/>
      <c r="H771" s="13"/>
      <c r="I771" s="13"/>
      <c r="J771" s="13"/>
      <c r="K771" s="13"/>
      <c r="L771" s="13"/>
      <c r="M771" s="13"/>
      <c r="N771" s="98"/>
      <c r="O771" s="98"/>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row>
    <row r="772">
      <c r="A772" s="13"/>
      <c r="B772" s="84"/>
      <c r="C772" s="13"/>
      <c r="D772" s="13"/>
      <c r="E772" s="13"/>
      <c r="F772" s="13"/>
      <c r="G772" s="13"/>
      <c r="H772" s="13"/>
      <c r="I772" s="13"/>
      <c r="J772" s="13"/>
      <c r="K772" s="13"/>
      <c r="L772" s="13"/>
      <c r="M772" s="13"/>
      <c r="N772" s="98"/>
      <c r="O772" s="98"/>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row>
    <row r="773">
      <c r="A773" s="13"/>
      <c r="B773" s="84"/>
      <c r="C773" s="13"/>
      <c r="D773" s="13"/>
      <c r="E773" s="13"/>
      <c r="F773" s="13"/>
      <c r="G773" s="13"/>
      <c r="H773" s="13"/>
      <c r="I773" s="13"/>
      <c r="J773" s="13"/>
      <c r="K773" s="13"/>
      <c r="L773" s="13"/>
      <c r="M773" s="13"/>
      <c r="N773" s="98"/>
      <c r="O773" s="98"/>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row>
    <row r="774">
      <c r="A774" s="13"/>
      <c r="B774" s="84"/>
      <c r="C774" s="13"/>
      <c r="D774" s="13"/>
      <c r="E774" s="13"/>
      <c r="F774" s="13"/>
      <c r="G774" s="13"/>
      <c r="H774" s="13"/>
      <c r="I774" s="13"/>
      <c r="J774" s="13"/>
      <c r="K774" s="13"/>
      <c r="L774" s="13"/>
      <c r="M774" s="13"/>
      <c r="N774" s="98"/>
      <c r="O774" s="98"/>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row>
    <row r="775">
      <c r="A775" s="13"/>
      <c r="B775" s="84"/>
      <c r="C775" s="13"/>
      <c r="D775" s="13"/>
      <c r="E775" s="13"/>
      <c r="F775" s="13"/>
      <c r="G775" s="13"/>
      <c r="H775" s="13"/>
      <c r="I775" s="13"/>
      <c r="J775" s="13"/>
      <c r="K775" s="13"/>
      <c r="L775" s="13"/>
      <c r="M775" s="13"/>
      <c r="N775" s="98"/>
      <c r="O775" s="98"/>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row>
    <row r="776">
      <c r="A776" s="13"/>
      <c r="B776" s="84"/>
      <c r="C776" s="13"/>
      <c r="D776" s="13"/>
      <c r="E776" s="13"/>
      <c r="F776" s="13"/>
      <c r="G776" s="13"/>
      <c r="H776" s="13"/>
      <c r="I776" s="13"/>
      <c r="J776" s="13"/>
      <c r="K776" s="13"/>
      <c r="L776" s="13"/>
      <c r="M776" s="13"/>
      <c r="N776" s="98"/>
      <c r="O776" s="98"/>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row>
    <row r="777">
      <c r="A777" s="13"/>
      <c r="B777" s="84"/>
      <c r="C777" s="13"/>
      <c r="D777" s="13"/>
      <c r="E777" s="13"/>
      <c r="F777" s="13"/>
      <c r="G777" s="13"/>
      <c r="H777" s="13"/>
      <c r="I777" s="13"/>
      <c r="J777" s="13"/>
      <c r="K777" s="13"/>
      <c r="L777" s="13"/>
      <c r="M777" s="13"/>
      <c r="N777" s="98"/>
      <c r="O777" s="98"/>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row>
    <row r="778">
      <c r="A778" s="13"/>
      <c r="B778" s="84"/>
      <c r="C778" s="13"/>
      <c r="D778" s="13"/>
      <c r="E778" s="13"/>
      <c r="F778" s="13"/>
      <c r="G778" s="13"/>
      <c r="H778" s="13"/>
      <c r="I778" s="13"/>
      <c r="J778" s="13"/>
      <c r="K778" s="13"/>
      <c r="L778" s="13"/>
      <c r="M778" s="13"/>
      <c r="N778" s="98"/>
      <c r="O778" s="98"/>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row>
    <row r="779">
      <c r="A779" s="13"/>
      <c r="B779" s="84"/>
      <c r="C779" s="13"/>
      <c r="D779" s="13"/>
      <c r="E779" s="13"/>
      <c r="F779" s="13"/>
      <c r="G779" s="13"/>
      <c r="H779" s="13"/>
      <c r="I779" s="13"/>
      <c r="J779" s="13"/>
      <c r="K779" s="13"/>
      <c r="L779" s="13"/>
      <c r="M779" s="13"/>
      <c r="N779" s="98"/>
      <c r="O779" s="98"/>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row>
    <row r="780">
      <c r="A780" s="13"/>
      <c r="B780" s="84"/>
      <c r="C780" s="13"/>
      <c r="D780" s="13"/>
      <c r="E780" s="13"/>
      <c r="F780" s="13"/>
      <c r="G780" s="13"/>
      <c r="H780" s="13"/>
      <c r="I780" s="13"/>
      <c r="J780" s="13"/>
      <c r="K780" s="13"/>
      <c r="L780" s="13"/>
      <c r="M780" s="13"/>
      <c r="N780" s="98"/>
      <c r="O780" s="98"/>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row>
    <row r="781">
      <c r="A781" s="13"/>
      <c r="B781" s="84"/>
      <c r="C781" s="13"/>
      <c r="D781" s="13"/>
      <c r="E781" s="13"/>
      <c r="F781" s="13"/>
      <c r="G781" s="13"/>
      <c r="H781" s="13"/>
      <c r="I781" s="13"/>
      <c r="J781" s="13"/>
      <c r="K781" s="13"/>
      <c r="L781" s="13"/>
      <c r="M781" s="13"/>
      <c r="N781" s="98"/>
      <c r="O781" s="98"/>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row>
    <row r="782">
      <c r="A782" s="13"/>
      <c r="B782" s="84"/>
      <c r="C782" s="13"/>
      <c r="D782" s="13"/>
      <c r="E782" s="13"/>
      <c r="F782" s="13"/>
      <c r="G782" s="13"/>
      <c r="H782" s="13"/>
      <c r="I782" s="13"/>
      <c r="J782" s="13"/>
      <c r="K782" s="13"/>
      <c r="L782" s="13"/>
      <c r="M782" s="13"/>
      <c r="N782" s="98"/>
      <c r="O782" s="98"/>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row>
    <row r="783">
      <c r="A783" s="13"/>
      <c r="B783" s="84"/>
      <c r="C783" s="13"/>
      <c r="D783" s="13"/>
      <c r="E783" s="13"/>
      <c r="F783" s="13"/>
      <c r="G783" s="13"/>
      <c r="H783" s="13"/>
      <c r="I783" s="13"/>
      <c r="J783" s="13"/>
      <c r="K783" s="13"/>
      <c r="L783" s="13"/>
      <c r="M783" s="13"/>
      <c r="N783" s="98"/>
      <c r="O783" s="98"/>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row>
    <row r="784">
      <c r="A784" s="13"/>
      <c r="B784" s="84"/>
      <c r="C784" s="13"/>
      <c r="D784" s="13"/>
      <c r="E784" s="13"/>
      <c r="F784" s="13"/>
      <c r="G784" s="13"/>
      <c r="H784" s="13"/>
      <c r="I784" s="13"/>
      <c r="J784" s="13"/>
      <c r="K784" s="13"/>
      <c r="L784" s="13"/>
      <c r="M784" s="13"/>
      <c r="N784" s="98"/>
      <c r="O784" s="98"/>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row>
    <row r="785">
      <c r="A785" s="13"/>
      <c r="B785" s="84"/>
      <c r="C785" s="13"/>
      <c r="D785" s="13"/>
      <c r="E785" s="13"/>
      <c r="F785" s="13"/>
      <c r="G785" s="13"/>
      <c r="H785" s="13"/>
      <c r="I785" s="13"/>
      <c r="J785" s="13"/>
      <c r="K785" s="13"/>
      <c r="L785" s="13"/>
      <c r="M785" s="13"/>
      <c r="N785" s="98"/>
      <c r="O785" s="98"/>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row>
    <row r="786">
      <c r="A786" s="13"/>
      <c r="B786" s="84"/>
      <c r="C786" s="13"/>
      <c r="D786" s="13"/>
      <c r="E786" s="13"/>
      <c r="F786" s="13"/>
      <c r="G786" s="13"/>
      <c r="H786" s="13"/>
      <c r="I786" s="13"/>
      <c r="J786" s="13"/>
      <c r="K786" s="13"/>
      <c r="L786" s="13"/>
      <c r="M786" s="13"/>
      <c r="N786" s="98"/>
      <c r="O786" s="98"/>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row>
    <row r="787">
      <c r="A787" s="13"/>
      <c r="B787" s="84"/>
      <c r="C787" s="13"/>
      <c r="D787" s="13"/>
      <c r="E787" s="13"/>
      <c r="F787" s="13"/>
      <c r="G787" s="13"/>
      <c r="H787" s="13"/>
      <c r="I787" s="13"/>
      <c r="J787" s="13"/>
      <c r="K787" s="13"/>
      <c r="L787" s="13"/>
      <c r="M787" s="13"/>
      <c r="N787" s="98"/>
      <c r="O787" s="98"/>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row>
    <row r="788">
      <c r="A788" s="13"/>
      <c r="B788" s="84"/>
      <c r="C788" s="13"/>
      <c r="D788" s="13"/>
      <c r="E788" s="13"/>
      <c r="F788" s="13"/>
      <c r="G788" s="13"/>
      <c r="H788" s="13"/>
      <c r="I788" s="13"/>
      <c r="J788" s="13"/>
      <c r="K788" s="13"/>
      <c r="L788" s="13"/>
      <c r="M788" s="13"/>
      <c r="N788" s="98"/>
      <c r="O788" s="98"/>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row>
    <row r="789">
      <c r="A789" s="13"/>
      <c r="B789" s="84"/>
      <c r="C789" s="13"/>
      <c r="D789" s="13"/>
      <c r="E789" s="13"/>
      <c r="F789" s="13"/>
      <c r="G789" s="13"/>
      <c r="H789" s="13"/>
      <c r="I789" s="13"/>
      <c r="J789" s="13"/>
      <c r="K789" s="13"/>
      <c r="L789" s="13"/>
      <c r="M789" s="13"/>
      <c r="N789" s="98"/>
      <c r="O789" s="98"/>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row>
    <row r="790">
      <c r="A790" s="13"/>
      <c r="B790" s="84"/>
      <c r="C790" s="13"/>
      <c r="D790" s="13"/>
      <c r="E790" s="13"/>
      <c r="F790" s="13"/>
      <c r="G790" s="13"/>
      <c r="H790" s="13"/>
      <c r="I790" s="13"/>
      <c r="J790" s="13"/>
      <c r="K790" s="13"/>
      <c r="L790" s="13"/>
      <c r="M790" s="13"/>
      <c r="N790" s="98"/>
      <c r="O790" s="98"/>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row>
    <row r="791">
      <c r="A791" s="13"/>
      <c r="B791" s="84"/>
      <c r="C791" s="13"/>
      <c r="D791" s="13"/>
      <c r="E791" s="13"/>
      <c r="F791" s="13"/>
      <c r="G791" s="13"/>
      <c r="H791" s="13"/>
      <c r="I791" s="13"/>
      <c r="J791" s="13"/>
      <c r="K791" s="13"/>
      <c r="L791" s="13"/>
      <c r="M791" s="13"/>
      <c r="N791" s="98"/>
      <c r="O791" s="98"/>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row>
    <row r="792">
      <c r="A792" s="13"/>
      <c r="B792" s="84"/>
      <c r="C792" s="13"/>
      <c r="D792" s="13"/>
      <c r="E792" s="13"/>
      <c r="F792" s="13"/>
      <c r="G792" s="13"/>
      <c r="H792" s="13"/>
      <c r="I792" s="13"/>
      <c r="J792" s="13"/>
      <c r="K792" s="13"/>
      <c r="L792" s="13"/>
      <c r="M792" s="13"/>
      <c r="N792" s="98"/>
      <c r="O792" s="98"/>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row>
    <row r="793">
      <c r="A793" s="13"/>
      <c r="B793" s="84"/>
      <c r="C793" s="13"/>
      <c r="D793" s="13"/>
      <c r="E793" s="13"/>
      <c r="F793" s="13"/>
      <c r="G793" s="13"/>
      <c r="H793" s="13"/>
      <c r="I793" s="13"/>
      <c r="J793" s="13"/>
      <c r="K793" s="13"/>
      <c r="L793" s="13"/>
      <c r="M793" s="13"/>
      <c r="N793" s="98"/>
      <c r="O793" s="98"/>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row>
    <row r="794">
      <c r="A794" s="13"/>
      <c r="B794" s="84"/>
      <c r="C794" s="13"/>
      <c r="D794" s="13"/>
      <c r="E794" s="13"/>
      <c r="F794" s="13"/>
      <c r="G794" s="13"/>
      <c r="H794" s="13"/>
      <c r="I794" s="13"/>
      <c r="J794" s="13"/>
      <c r="K794" s="13"/>
      <c r="L794" s="13"/>
      <c r="M794" s="13"/>
      <c r="N794" s="98"/>
      <c r="O794" s="98"/>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row>
    <row r="795">
      <c r="A795" s="13"/>
      <c r="B795" s="84"/>
      <c r="C795" s="13"/>
      <c r="D795" s="13"/>
      <c r="E795" s="13"/>
      <c r="F795" s="13"/>
      <c r="G795" s="13"/>
      <c r="H795" s="13"/>
      <c r="I795" s="13"/>
      <c r="J795" s="13"/>
      <c r="K795" s="13"/>
      <c r="L795" s="13"/>
      <c r="M795" s="13"/>
      <c r="N795" s="98"/>
      <c r="O795" s="98"/>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row>
    <row r="796">
      <c r="A796" s="13"/>
      <c r="B796" s="84"/>
      <c r="C796" s="13"/>
      <c r="D796" s="13"/>
      <c r="E796" s="13"/>
      <c r="F796" s="13"/>
      <c r="G796" s="13"/>
      <c r="H796" s="13"/>
      <c r="I796" s="13"/>
      <c r="J796" s="13"/>
      <c r="K796" s="13"/>
      <c r="L796" s="13"/>
      <c r="M796" s="13"/>
      <c r="N796" s="98"/>
      <c r="O796" s="98"/>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row>
    <row r="797">
      <c r="A797" s="13"/>
      <c r="B797" s="84"/>
      <c r="C797" s="13"/>
      <c r="D797" s="13"/>
      <c r="E797" s="13"/>
      <c r="F797" s="13"/>
      <c r="G797" s="13"/>
      <c r="H797" s="13"/>
      <c r="I797" s="13"/>
      <c r="J797" s="13"/>
      <c r="K797" s="13"/>
      <c r="L797" s="13"/>
      <c r="M797" s="13"/>
      <c r="N797" s="98"/>
      <c r="O797" s="98"/>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row>
    <row r="798">
      <c r="A798" s="13"/>
      <c r="B798" s="84"/>
      <c r="C798" s="13"/>
      <c r="D798" s="13"/>
      <c r="E798" s="13"/>
      <c r="F798" s="13"/>
      <c r="G798" s="13"/>
      <c r="H798" s="13"/>
      <c r="I798" s="13"/>
      <c r="J798" s="13"/>
      <c r="K798" s="13"/>
      <c r="L798" s="13"/>
      <c r="M798" s="13"/>
      <c r="N798" s="98"/>
      <c r="O798" s="98"/>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row>
    <row r="799">
      <c r="A799" s="13"/>
      <c r="B799" s="84"/>
      <c r="C799" s="13"/>
      <c r="D799" s="13"/>
      <c r="E799" s="13"/>
      <c r="F799" s="13"/>
      <c r="G799" s="13"/>
      <c r="H799" s="13"/>
      <c r="I799" s="13"/>
      <c r="J799" s="13"/>
      <c r="K799" s="13"/>
      <c r="L799" s="13"/>
      <c r="M799" s="13"/>
      <c r="N799" s="98"/>
      <c r="O799" s="98"/>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row>
    <row r="800">
      <c r="A800" s="13"/>
      <c r="B800" s="84"/>
      <c r="C800" s="13"/>
      <c r="D800" s="13"/>
      <c r="E800" s="13"/>
      <c r="F800" s="13"/>
      <c r="G800" s="13"/>
      <c r="H800" s="13"/>
      <c r="I800" s="13"/>
      <c r="J800" s="13"/>
      <c r="K800" s="13"/>
      <c r="L800" s="13"/>
      <c r="M800" s="13"/>
      <c r="N800" s="98"/>
      <c r="O800" s="98"/>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row>
    <row r="801">
      <c r="A801" s="13"/>
      <c r="B801" s="84"/>
      <c r="C801" s="13"/>
      <c r="D801" s="13"/>
      <c r="E801" s="13"/>
      <c r="F801" s="13"/>
      <c r="G801" s="13"/>
      <c r="H801" s="13"/>
      <c r="I801" s="13"/>
      <c r="J801" s="13"/>
      <c r="K801" s="13"/>
      <c r="L801" s="13"/>
      <c r="M801" s="13"/>
      <c r="N801" s="98"/>
      <c r="O801" s="98"/>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row>
    <row r="802">
      <c r="A802" s="13"/>
      <c r="B802" s="84"/>
      <c r="C802" s="13"/>
      <c r="D802" s="13"/>
      <c r="E802" s="13"/>
      <c r="F802" s="13"/>
      <c r="G802" s="13"/>
      <c r="H802" s="13"/>
      <c r="I802" s="13"/>
      <c r="J802" s="13"/>
      <c r="K802" s="13"/>
      <c r="L802" s="13"/>
      <c r="M802" s="13"/>
      <c r="N802" s="98"/>
      <c r="O802" s="98"/>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row>
    <row r="803">
      <c r="A803" s="13"/>
      <c r="B803" s="84"/>
      <c r="C803" s="13"/>
      <c r="D803" s="13"/>
      <c r="E803" s="13"/>
      <c r="F803" s="13"/>
      <c r="G803" s="13"/>
      <c r="H803" s="13"/>
      <c r="I803" s="13"/>
      <c r="J803" s="13"/>
      <c r="K803" s="13"/>
      <c r="L803" s="13"/>
      <c r="M803" s="13"/>
      <c r="N803" s="98"/>
      <c r="O803" s="98"/>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row>
    <row r="804">
      <c r="A804" s="13"/>
      <c r="B804" s="84"/>
      <c r="C804" s="13"/>
      <c r="D804" s="13"/>
      <c r="E804" s="13"/>
      <c r="F804" s="13"/>
      <c r="G804" s="13"/>
      <c r="H804" s="13"/>
      <c r="I804" s="13"/>
      <c r="J804" s="13"/>
      <c r="K804" s="13"/>
      <c r="L804" s="13"/>
      <c r="M804" s="13"/>
      <c r="N804" s="98"/>
      <c r="O804" s="98"/>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row>
    <row r="805">
      <c r="A805" s="13"/>
      <c r="B805" s="84"/>
      <c r="C805" s="13"/>
      <c r="D805" s="13"/>
      <c r="E805" s="13"/>
      <c r="F805" s="13"/>
      <c r="G805" s="13"/>
      <c r="H805" s="13"/>
      <c r="I805" s="13"/>
      <c r="J805" s="13"/>
      <c r="K805" s="13"/>
      <c r="L805" s="13"/>
      <c r="M805" s="13"/>
      <c r="N805" s="98"/>
      <c r="O805" s="98"/>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row>
    <row r="806">
      <c r="A806" s="13"/>
      <c r="B806" s="84"/>
      <c r="C806" s="13"/>
      <c r="D806" s="13"/>
      <c r="E806" s="13"/>
      <c r="F806" s="13"/>
      <c r="G806" s="13"/>
      <c r="H806" s="13"/>
      <c r="I806" s="13"/>
      <c r="J806" s="13"/>
      <c r="K806" s="13"/>
      <c r="L806" s="13"/>
      <c r="M806" s="13"/>
      <c r="N806" s="98"/>
      <c r="O806" s="98"/>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row>
    <row r="807">
      <c r="A807" s="13"/>
      <c r="B807" s="84"/>
      <c r="C807" s="13"/>
      <c r="D807" s="13"/>
      <c r="E807" s="13"/>
      <c r="F807" s="13"/>
      <c r="G807" s="13"/>
      <c r="H807" s="13"/>
      <c r="I807" s="13"/>
      <c r="J807" s="13"/>
      <c r="K807" s="13"/>
      <c r="L807" s="13"/>
      <c r="M807" s="13"/>
      <c r="N807" s="98"/>
      <c r="O807" s="98"/>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row>
    <row r="808">
      <c r="A808" s="13"/>
      <c r="B808" s="84"/>
      <c r="C808" s="13"/>
      <c r="D808" s="13"/>
      <c r="E808" s="13"/>
      <c r="F808" s="13"/>
      <c r="G808" s="13"/>
      <c r="H808" s="13"/>
      <c r="I808" s="13"/>
      <c r="J808" s="13"/>
      <c r="K808" s="13"/>
      <c r="L808" s="13"/>
      <c r="M808" s="13"/>
      <c r="N808" s="98"/>
      <c r="O808" s="98"/>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row>
    <row r="809">
      <c r="A809" s="13"/>
      <c r="B809" s="84"/>
      <c r="C809" s="13"/>
      <c r="D809" s="13"/>
      <c r="E809" s="13"/>
      <c r="F809" s="13"/>
      <c r="G809" s="13"/>
      <c r="H809" s="13"/>
      <c r="I809" s="13"/>
      <c r="J809" s="13"/>
      <c r="K809" s="13"/>
      <c r="L809" s="13"/>
      <c r="M809" s="13"/>
      <c r="N809" s="98"/>
      <c r="O809" s="98"/>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row>
    <row r="810">
      <c r="A810" s="13"/>
      <c r="B810" s="84"/>
      <c r="C810" s="13"/>
      <c r="D810" s="13"/>
      <c r="E810" s="13"/>
      <c r="F810" s="13"/>
      <c r="G810" s="13"/>
      <c r="H810" s="13"/>
      <c r="I810" s="13"/>
      <c r="J810" s="13"/>
      <c r="K810" s="13"/>
      <c r="L810" s="13"/>
      <c r="M810" s="13"/>
      <c r="N810" s="98"/>
      <c r="O810" s="98"/>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row>
    <row r="811">
      <c r="A811" s="13"/>
      <c r="B811" s="84"/>
      <c r="C811" s="13"/>
      <c r="D811" s="13"/>
      <c r="E811" s="13"/>
      <c r="F811" s="13"/>
      <c r="G811" s="13"/>
      <c r="H811" s="13"/>
      <c r="I811" s="13"/>
      <c r="J811" s="13"/>
      <c r="K811" s="13"/>
      <c r="L811" s="13"/>
      <c r="M811" s="13"/>
      <c r="N811" s="98"/>
      <c r="O811" s="98"/>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row>
    <row r="812">
      <c r="A812" s="13"/>
      <c r="B812" s="84"/>
      <c r="C812" s="13"/>
      <c r="D812" s="13"/>
      <c r="E812" s="13"/>
      <c r="F812" s="13"/>
      <c r="G812" s="13"/>
      <c r="H812" s="13"/>
      <c r="I812" s="13"/>
      <c r="J812" s="13"/>
      <c r="K812" s="13"/>
      <c r="L812" s="13"/>
      <c r="M812" s="13"/>
      <c r="N812" s="98"/>
      <c r="O812" s="98"/>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row>
    <row r="813">
      <c r="A813" s="13"/>
      <c r="B813" s="84"/>
      <c r="C813" s="13"/>
      <c r="D813" s="13"/>
      <c r="E813" s="13"/>
      <c r="F813" s="13"/>
      <c r="G813" s="13"/>
      <c r="H813" s="13"/>
      <c r="I813" s="13"/>
      <c r="J813" s="13"/>
      <c r="K813" s="13"/>
      <c r="L813" s="13"/>
      <c r="M813" s="13"/>
      <c r="N813" s="98"/>
      <c r="O813" s="98"/>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row>
    <row r="814">
      <c r="A814" s="13"/>
      <c r="B814" s="84"/>
      <c r="C814" s="13"/>
      <c r="D814" s="13"/>
      <c r="E814" s="13"/>
      <c r="F814" s="13"/>
      <c r="G814" s="13"/>
      <c r="H814" s="13"/>
      <c r="I814" s="13"/>
      <c r="J814" s="13"/>
      <c r="K814" s="13"/>
      <c r="L814" s="13"/>
      <c r="M814" s="13"/>
      <c r="N814" s="98"/>
      <c r="O814" s="98"/>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row>
    <row r="815">
      <c r="A815" s="13"/>
      <c r="B815" s="84"/>
      <c r="C815" s="13"/>
      <c r="D815" s="13"/>
      <c r="E815" s="13"/>
      <c r="F815" s="13"/>
      <c r="G815" s="13"/>
      <c r="H815" s="13"/>
      <c r="I815" s="13"/>
      <c r="J815" s="13"/>
      <c r="K815" s="13"/>
      <c r="L815" s="13"/>
      <c r="M815" s="13"/>
      <c r="N815" s="98"/>
      <c r="O815" s="98"/>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row>
    <row r="816">
      <c r="A816" s="13"/>
      <c r="B816" s="84"/>
      <c r="C816" s="13"/>
      <c r="D816" s="13"/>
      <c r="E816" s="13"/>
      <c r="F816" s="13"/>
      <c r="G816" s="13"/>
      <c r="H816" s="13"/>
      <c r="I816" s="13"/>
      <c r="J816" s="13"/>
      <c r="K816" s="13"/>
      <c r="L816" s="13"/>
      <c r="M816" s="13"/>
      <c r="N816" s="98"/>
      <c r="O816" s="98"/>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row>
    <row r="817">
      <c r="A817" s="13"/>
      <c r="B817" s="84"/>
      <c r="C817" s="13"/>
      <c r="D817" s="13"/>
      <c r="E817" s="13"/>
      <c r="F817" s="13"/>
      <c r="G817" s="13"/>
      <c r="H817" s="13"/>
      <c r="I817" s="13"/>
      <c r="J817" s="13"/>
      <c r="K817" s="13"/>
      <c r="L817" s="13"/>
      <c r="M817" s="13"/>
      <c r="N817" s="98"/>
      <c r="O817" s="98"/>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row>
    <row r="818">
      <c r="A818" s="13"/>
      <c r="B818" s="84"/>
      <c r="C818" s="13"/>
      <c r="D818" s="13"/>
      <c r="E818" s="13"/>
      <c r="F818" s="13"/>
      <c r="G818" s="13"/>
      <c r="H818" s="13"/>
      <c r="I818" s="13"/>
      <c r="J818" s="13"/>
      <c r="K818" s="13"/>
      <c r="L818" s="13"/>
      <c r="M818" s="13"/>
      <c r="N818" s="98"/>
      <c r="O818" s="98"/>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row>
    <row r="819">
      <c r="A819" s="13"/>
      <c r="B819" s="84"/>
      <c r="C819" s="13"/>
      <c r="D819" s="13"/>
      <c r="E819" s="13"/>
      <c r="F819" s="13"/>
      <c r="G819" s="13"/>
      <c r="H819" s="13"/>
      <c r="I819" s="13"/>
      <c r="J819" s="13"/>
      <c r="K819" s="13"/>
      <c r="L819" s="13"/>
      <c r="M819" s="13"/>
      <c r="N819" s="98"/>
      <c r="O819" s="98"/>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row>
    <row r="820">
      <c r="A820" s="13"/>
      <c r="B820" s="84"/>
      <c r="C820" s="13"/>
      <c r="D820" s="13"/>
      <c r="E820" s="13"/>
      <c r="F820" s="13"/>
      <c r="G820" s="13"/>
      <c r="H820" s="13"/>
      <c r="I820" s="13"/>
      <c r="J820" s="13"/>
      <c r="K820" s="13"/>
      <c r="L820" s="13"/>
      <c r="M820" s="13"/>
      <c r="N820" s="98"/>
      <c r="O820" s="98"/>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row>
    <row r="821">
      <c r="A821" s="13"/>
      <c r="B821" s="84"/>
      <c r="C821" s="13"/>
      <c r="D821" s="13"/>
      <c r="E821" s="13"/>
      <c r="F821" s="13"/>
      <c r="G821" s="13"/>
      <c r="H821" s="13"/>
      <c r="I821" s="13"/>
      <c r="J821" s="13"/>
      <c r="K821" s="13"/>
      <c r="L821" s="13"/>
      <c r="M821" s="13"/>
      <c r="N821" s="98"/>
      <c r="O821" s="98"/>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row>
    <row r="822">
      <c r="A822" s="13"/>
      <c r="B822" s="84"/>
      <c r="C822" s="13"/>
      <c r="D822" s="13"/>
      <c r="E822" s="13"/>
      <c r="F822" s="13"/>
      <c r="G822" s="13"/>
      <c r="H822" s="13"/>
      <c r="I822" s="13"/>
      <c r="J822" s="13"/>
      <c r="K822" s="13"/>
      <c r="L822" s="13"/>
      <c r="M822" s="13"/>
      <c r="N822" s="98"/>
      <c r="O822" s="98"/>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row>
    <row r="823">
      <c r="A823" s="13"/>
      <c r="B823" s="84"/>
      <c r="C823" s="13"/>
      <c r="D823" s="13"/>
      <c r="E823" s="13"/>
      <c r="F823" s="13"/>
      <c r="G823" s="13"/>
      <c r="H823" s="13"/>
      <c r="I823" s="13"/>
      <c r="J823" s="13"/>
      <c r="K823" s="13"/>
      <c r="L823" s="13"/>
      <c r="M823" s="13"/>
      <c r="N823" s="98"/>
      <c r="O823" s="98"/>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row>
    <row r="824">
      <c r="A824" s="13"/>
      <c r="B824" s="84"/>
      <c r="C824" s="13"/>
      <c r="D824" s="13"/>
      <c r="E824" s="13"/>
      <c r="F824" s="13"/>
      <c r="G824" s="13"/>
      <c r="H824" s="13"/>
      <c r="I824" s="13"/>
      <c r="J824" s="13"/>
      <c r="K824" s="13"/>
      <c r="L824" s="13"/>
      <c r="M824" s="13"/>
      <c r="N824" s="98"/>
      <c r="O824" s="98"/>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row>
    <row r="825">
      <c r="A825" s="13"/>
      <c r="B825" s="84"/>
      <c r="C825" s="13"/>
      <c r="D825" s="13"/>
      <c r="E825" s="13"/>
      <c r="F825" s="13"/>
      <c r="G825" s="13"/>
      <c r="H825" s="13"/>
      <c r="I825" s="13"/>
      <c r="J825" s="13"/>
      <c r="K825" s="13"/>
      <c r="L825" s="13"/>
      <c r="M825" s="13"/>
      <c r="N825" s="98"/>
      <c r="O825" s="98"/>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row>
    <row r="826">
      <c r="A826" s="13"/>
      <c r="B826" s="84"/>
      <c r="C826" s="13"/>
      <c r="D826" s="13"/>
      <c r="E826" s="13"/>
      <c r="F826" s="13"/>
      <c r="G826" s="13"/>
      <c r="H826" s="13"/>
      <c r="I826" s="13"/>
      <c r="J826" s="13"/>
      <c r="K826" s="13"/>
      <c r="L826" s="13"/>
      <c r="M826" s="13"/>
      <c r="N826" s="98"/>
      <c r="O826" s="98"/>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row>
    <row r="827">
      <c r="A827" s="13"/>
      <c r="B827" s="84"/>
      <c r="C827" s="13"/>
      <c r="D827" s="13"/>
      <c r="E827" s="13"/>
      <c r="F827" s="13"/>
      <c r="G827" s="13"/>
      <c r="H827" s="13"/>
      <c r="I827" s="13"/>
      <c r="J827" s="13"/>
      <c r="K827" s="13"/>
      <c r="L827" s="13"/>
      <c r="M827" s="13"/>
      <c r="N827" s="98"/>
      <c r="O827" s="98"/>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row>
    <row r="828">
      <c r="A828" s="13"/>
      <c r="B828" s="84"/>
      <c r="C828" s="13"/>
      <c r="D828" s="13"/>
      <c r="E828" s="13"/>
      <c r="F828" s="13"/>
      <c r="G828" s="13"/>
      <c r="H828" s="13"/>
      <c r="I828" s="13"/>
      <c r="J828" s="13"/>
      <c r="K828" s="13"/>
      <c r="L828" s="13"/>
      <c r="M828" s="13"/>
      <c r="N828" s="98"/>
      <c r="O828" s="98"/>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row>
    <row r="829">
      <c r="A829" s="13"/>
      <c r="B829" s="84"/>
      <c r="C829" s="13"/>
      <c r="D829" s="13"/>
      <c r="E829" s="13"/>
      <c r="F829" s="13"/>
      <c r="G829" s="13"/>
      <c r="H829" s="13"/>
      <c r="I829" s="13"/>
      <c r="J829" s="13"/>
      <c r="K829" s="13"/>
      <c r="L829" s="13"/>
      <c r="M829" s="13"/>
      <c r="N829" s="98"/>
      <c r="O829" s="98"/>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row>
    <row r="830">
      <c r="A830" s="13"/>
      <c r="B830" s="84"/>
      <c r="C830" s="13"/>
      <c r="D830" s="13"/>
      <c r="E830" s="13"/>
      <c r="F830" s="13"/>
      <c r="G830" s="13"/>
      <c r="H830" s="13"/>
      <c r="I830" s="13"/>
      <c r="J830" s="13"/>
      <c r="K830" s="13"/>
      <c r="L830" s="13"/>
      <c r="M830" s="13"/>
      <c r="N830" s="98"/>
      <c r="O830" s="98"/>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row>
    <row r="831">
      <c r="A831" s="13"/>
      <c r="B831" s="84"/>
      <c r="C831" s="13"/>
      <c r="D831" s="13"/>
      <c r="E831" s="13"/>
      <c r="F831" s="13"/>
      <c r="G831" s="13"/>
      <c r="H831" s="13"/>
      <c r="I831" s="13"/>
      <c r="J831" s="13"/>
      <c r="K831" s="13"/>
      <c r="L831" s="13"/>
      <c r="M831" s="13"/>
      <c r="N831" s="98"/>
      <c r="O831" s="98"/>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row>
    <row r="832">
      <c r="A832" s="13"/>
      <c r="B832" s="84"/>
      <c r="C832" s="13"/>
      <c r="D832" s="13"/>
      <c r="E832" s="13"/>
      <c r="F832" s="13"/>
      <c r="G832" s="13"/>
      <c r="H832" s="13"/>
      <c r="I832" s="13"/>
      <c r="J832" s="13"/>
      <c r="K832" s="13"/>
      <c r="L832" s="13"/>
      <c r="M832" s="13"/>
      <c r="N832" s="98"/>
      <c r="O832" s="98"/>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row>
    <row r="833">
      <c r="A833" s="13"/>
      <c r="B833" s="84"/>
      <c r="C833" s="13"/>
      <c r="D833" s="13"/>
      <c r="E833" s="13"/>
      <c r="F833" s="13"/>
      <c r="G833" s="13"/>
      <c r="H833" s="13"/>
      <c r="I833" s="13"/>
      <c r="J833" s="13"/>
      <c r="K833" s="13"/>
      <c r="L833" s="13"/>
      <c r="M833" s="13"/>
      <c r="N833" s="98"/>
      <c r="O833" s="98"/>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row>
    <row r="834">
      <c r="A834" s="13"/>
      <c r="B834" s="84"/>
      <c r="C834" s="13"/>
      <c r="D834" s="13"/>
      <c r="E834" s="13"/>
      <c r="F834" s="13"/>
      <c r="G834" s="13"/>
      <c r="H834" s="13"/>
      <c r="I834" s="13"/>
      <c r="J834" s="13"/>
      <c r="K834" s="13"/>
      <c r="L834" s="13"/>
      <c r="M834" s="13"/>
      <c r="N834" s="98"/>
      <c r="O834" s="98"/>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row>
    <row r="835">
      <c r="A835" s="13"/>
      <c r="B835" s="84"/>
      <c r="C835" s="13"/>
      <c r="D835" s="13"/>
      <c r="E835" s="13"/>
      <c r="F835" s="13"/>
      <c r="G835" s="13"/>
      <c r="H835" s="13"/>
      <c r="I835" s="13"/>
      <c r="J835" s="13"/>
      <c r="K835" s="13"/>
      <c r="L835" s="13"/>
      <c r="M835" s="13"/>
      <c r="N835" s="98"/>
      <c r="O835" s="98"/>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row>
    <row r="836">
      <c r="A836" s="13"/>
      <c r="B836" s="84"/>
      <c r="C836" s="13"/>
      <c r="D836" s="13"/>
      <c r="E836" s="13"/>
      <c r="F836" s="13"/>
      <c r="G836" s="13"/>
      <c r="H836" s="13"/>
      <c r="I836" s="13"/>
      <c r="J836" s="13"/>
      <c r="K836" s="13"/>
      <c r="L836" s="13"/>
      <c r="M836" s="13"/>
      <c r="N836" s="98"/>
      <c r="O836" s="98"/>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row>
    <row r="837">
      <c r="A837" s="13"/>
      <c r="B837" s="84"/>
      <c r="C837" s="13"/>
      <c r="D837" s="13"/>
      <c r="E837" s="13"/>
      <c r="F837" s="13"/>
      <c r="G837" s="13"/>
      <c r="H837" s="13"/>
      <c r="I837" s="13"/>
      <c r="J837" s="13"/>
      <c r="K837" s="13"/>
      <c r="L837" s="13"/>
      <c r="M837" s="13"/>
      <c r="N837" s="98"/>
      <c r="O837" s="98"/>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row>
    <row r="838">
      <c r="A838" s="13"/>
      <c r="B838" s="84"/>
      <c r="C838" s="13"/>
      <c r="D838" s="13"/>
      <c r="E838" s="13"/>
      <c r="F838" s="13"/>
      <c r="G838" s="13"/>
      <c r="H838" s="13"/>
      <c r="I838" s="13"/>
      <c r="J838" s="13"/>
      <c r="K838" s="13"/>
      <c r="L838" s="13"/>
      <c r="M838" s="13"/>
      <c r="N838" s="98"/>
      <c r="O838" s="98"/>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row>
    <row r="839">
      <c r="A839" s="13"/>
      <c r="B839" s="84"/>
      <c r="C839" s="13"/>
      <c r="D839" s="13"/>
      <c r="E839" s="13"/>
      <c r="F839" s="13"/>
      <c r="G839" s="13"/>
      <c r="H839" s="13"/>
      <c r="I839" s="13"/>
      <c r="J839" s="13"/>
      <c r="K839" s="13"/>
      <c r="L839" s="13"/>
      <c r="M839" s="13"/>
      <c r="N839" s="98"/>
      <c r="O839" s="98"/>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row>
    <row r="840">
      <c r="A840" s="13"/>
      <c r="B840" s="84"/>
      <c r="C840" s="13"/>
      <c r="D840" s="13"/>
      <c r="E840" s="13"/>
      <c r="F840" s="13"/>
      <c r="G840" s="13"/>
      <c r="H840" s="13"/>
      <c r="I840" s="13"/>
      <c r="J840" s="13"/>
      <c r="K840" s="13"/>
      <c r="L840" s="13"/>
      <c r="M840" s="13"/>
      <c r="N840" s="98"/>
      <c r="O840" s="98"/>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row>
    <row r="841">
      <c r="A841" s="13"/>
      <c r="B841" s="84"/>
      <c r="C841" s="13"/>
      <c r="D841" s="13"/>
      <c r="E841" s="13"/>
      <c r="F841" s="13"/>
      <c r="G841" s="13"/>
      <c r="H841" s="13"/>
      <c r="I841" s="13"/>
      <c r="J841" s="13"/>
      <c r="K841" s="13"/>
      <c r="L841" s="13"/>
      <c r="M841" s="13"/>
      <c r="N841" s="98"/>
      <c r="O841" s="98"/>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row>
    <row r="842">
      <c r="A842" s="13"/>
      <c r="B842" s="84"/>
      <c r="C842" s="13"/>
      <c r="D842" s="13"/>
      <c r="E842" s="13"/>
      <c r="F842" s="13"/>
      <c r="G842" s="13"/>
      <c r="H842" s="13"/>
      <c r="I842" s="13"/>
      <c r="J842" s="13"/>
      <c r="K842" s="13"/>
      <c r="L842" s="13"/>
      <c r="M842" s="13"/>
      <c r="N842" s="98"/>
      <c r="O842" s="98"/>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row>
    <row r="843">
      <c r="A843" s="13"/>
      <c r="B843" s="84"/>
      <c r="C843" s="13"/>
      <c r="D843" s="13"/>
      <c r="E843" s="13"/>
      <c r="F843" s="13"/>
      <c r="G843" s="13"/>
      <c r="H843" s="13"/>
      <c r="I843" s="13"/>
      <c r="J843" s="13"/>
      <c r="K843" s="13"/>
      <c r="L843" s="13"/>
      <c r="M843" s="13"/>
      <c r="N843" s="98"/>
      <c r="O843" s="98"/>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row>
    <row r="844">
      <c r="A844" s="13"/>
      <c r="B844" s="84"/>
      <c r="C844" s="13"/>
      <c r="D844" s="13"/>
      <c r="E844" s="13"/>
      <c r="F844" s="13"/>
      <c r="G844" s="13"/>
      <c r="H844" s="13"/>
      <c r="I844" s="13"/>
      <c r="J844" s="13"/>
      <c r="K844" s="13"/>
      <c r="L844" s="13"/>
      <c r="M844" s="13"/>
      <c r="N844" s="98"/>
      <c r="O844" s="98"/>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row>
    <row r="845">
      <c r="A845" s="13"/>
      <c r="B845" s="84"/>
      <c r="C845" s="13"/>
      <c r="D845" s="13"/>
      <c r="E845" s="13"/>
      <c r="F845" s="13"/>
      <c r="G845" s="13"/>
      <c r="H845" s="13"/>
      <c r="I845" s="13"/>
      <c r="J845" s="13"/>
      <c r="K845" s="13"/>
      <c r="L845" s="13"/>
      <c r="M845" s="13"/>
      <c r="N845" s="98"/>
      <c r="O845" s="98"/>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row>
    <row r="846">
      <c r="A846" s="13"/>
      <c r="B846" s="84"/>
      <c r="C846" s="13"/>
      <c r="D846" s="13"/>
      <c r="E846" s="13"/>
      <c r="F846" s="13"/>
      <c r="G846" s="13"/>
      <c r="H846" s="13"/>
      <c r="I846" s="13"/>
      <c r="J846" s="13"/>
      <c r="K846" s="13"/>
      <c r="L846" s="13"/>
      <c r="M846" s="13"/>
      <c r="N846" s="98"/>
      <c r="O846" s="98"/>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row>
    <row r="847">
      <c r="A847" s="13"/>
      <c r="B847" s="84"/>
      <c r="C847" s="13"/>
      <c r="D847" s="13"/>
      <c r="E847" s="13"/>
      <c r="F847" s="13"/>
      <c r="G847" s="13"/>
      <c r="H847" s="13"/>
      <c r="I847" s="13"/>
      <c r="J847" s="13"/>
      <c r="K847" s="13"/>
      <c r="L847" s="13"/>
      <c r="M847" s="13"/>
      <c r="N847" s="98"/>
      <c r="O847" s="98"/>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row>
    <row r="848">
      <c r="A848" s="13"/>
      <c r="B848" s="84"/>
      <c r="C848" s="13"/>
      <c r="D848" s="13"/>
      <c r="E848" s="13"/>
      <c r="F848" s="13"/>
      <c r="G848" s="13"/>
      <c r="H848" s="13"/>
      <c r="I848" s="13"/>
      <c r="J848" s="13"/>
      <c r="K848" s="13"/>
      <c r="L848" s="13"/>
      <c r="M848" s="13"/>
      <c r="N848" s="98"/>
      <c r="O848" s="98"/>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row>
    <row r="849">
      <c r="A849" s="13"/>
      <c r="B849" s="84"/>
      <c r="C849" s="13"/>
      <c r="D849" s="13"/>
      <c r="E849" s="13"/>
      <c r="F849" s="13"/>
      <c r="G849" s="13"/>
      <c r="H849" s="13"/>
      <c r="I849" s="13"/>
      <c r="J849" s="13"/>
      <c r="K849" s="13"/>
      <c r="L849" s="13"/>
      <c r="M849" s="13"/>
      <c r="N849" s="98"/>
      <c r="O849" s="98"/>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row>
    <row r="850">
      <c r="A850" s="13"/>
      <c r="B850" s="84"/>
      <c r="C850" s="13"/>
      <c r="D850" s="13"/>
      <c r="E850" s="13"/>
      <c r="F850" s="13"/>
      <c r="G850" s="13"/>
      <c r="H850" s="13"/>
      <c r="I850" s="13"/>
      <c r="J850" s="13"/>
      <c r="K850" s="13"/>
      <c r="L850" s="13"/>
      <c r="M850" s="13"/>
      <c r="N850" s="98"/>
      <c r="O850" s="98"/>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row>
    <row r="851">
      <c r="A851" s="13"/>
      <c r="B851" s="84"/>
      <c r="C851" s="13"/>
      <c r="D851" s="13"/>
      <c r="E851" s="13"/>
      <c r="F851" s="13"/>
      <c r="G851" s="13"/>
      <c r="H851" s="13"/>
      <c r="I851" s="13"/>
      <c r="J851" s="13"/>
      <c r="K851" s="13"/>
      <c r="L851" s="13"/>
      <c r="M851" s="13"/>
      <c r="N851" s="98"/>
      <c r="O851" s="98"/>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row>
    <row r="852">
      <c r="A852" s="13"/>
      <c r="B852" s="84"/>
      <c r="C852" s="13"/>
      <c r="D852" s="13"/>
      <c r="E852" s="13"/>
      <c r="F852" s="13"/>
      <c r="G852" s="13"/>
      <c r="H852" s="13"/>
      <c r="I852" s="13"/>
      <c r="J852" s="13"/>
      <c r="K852" s="13"/>
      <c r="L852" s="13"/>
      <c r="M852" s="13"/>
      <c r="N852" s="98"/>
      <c r="O852" s="98"/>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row>
    <row r="853">
      <c r="A853" s="13"/>
      <c r="B853" s="84"/>
      <c r="C853" s="13"/>
      <c r="D853" s="13"/>
      <c r="E853" s="13"/>
      <c r="F853" s="13"/>
      <c r="G853" s="13"/>
      <c r="H853" s="13"/>
      <c r="I853" s="13"/>
      <c r="J853" s="13"/>
      <c r="K853" s="13"/>
      <c r="L853" s="13"/>
      <c r="M853" s="13"/>
      <c r="N853" s="98"/>
      <c r="O853" s="98"/>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row>
    <row r="854">
      <c r="A854" s="13"/>
      <c r="B854" s="84"/>
      <c r="C854" s="13"/>
      <c r="D854" s="13"/>
      <c r="E854" s="13"/>
      <c r="F854" s="13"/>
      <c r="G854" s="13"/>
      <c r="H854" s="13"/>
      <c r="I854" s="13"/>
      <c r="J854" s="13"/>
      <c r="K854" s="13"/>
      <c r="L854" s="13"/>
      <c r="M854" s="13"/>
      <c r="N854" s="98"/>
      <c r="O854" s="98"/>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row>
    <row r="855">
      <c r="A855" s="13"/>
      <c r="B855" s="84"/>
      <c r="C855" s="13"/>
      <c r="D855" s="13"/>
      <c r="E855" s="13"/>
      <c r="F855" s="13"/>
      <c r="G855" s="13"/>
      <c r="H855" s="13"/>
      <c r="I855" s="13"/>
      <c r="J855" s="13"/>
      <c r="K855" s="13"/>
      <c r="L855" s="13"/>
      <c r="M855" s="13"/>
      <c r="N855" s="98"/>
      <c r="O855" s="98"/>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row>
    <row r="856">
      <c r="A856" s="13"/>
      <c r="B856" s="84"/>
      <c r="C856" s="13"/>
      <c r="D856" s="13"/>
      <c r="E856" s="13"/>
      <c r="F856" s="13"/>
      <c r="G856" s="13"/>
      <c r="H856" s="13"/>
      <c r="I856" s="13"/>
      <c r="J856" s="13"/>
      <c r="K856" s="13"/>
      <c r="L856" s="13"/>
      <c r="M856" s="13"/>
      <c r="N856" s="98"/>
      <c r="O856" s="98"/>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row>
    <row r="857">
      <c r="A857" s="13"/>
      <c r="B857" s="84"/>
      <c r="C857" s="13"/>
      <c r="D857" s="13"/>
      <c r="E857" s="13"/>
      <c r="F857" s="13"/>
      <c r="G857" s="13"/>
      <c r="H857" s="13"/>
      <c r="I857" s="13"/>
      <c r="J857" s="13"/>
      <c r="K857" s="13"/>
      <c r="L857" s="13"/>
      <c r="M857" s="13"/>
      <c r="N857" s="98"/>
      <c r="O857" s="98"/>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row>
    <row r="858">
      <c r="A858" s="13"/>
      <c r="B858" s="84"/>
      <c r="C858" s="13"/>
      <c r="D858" s="13"/>
      <c r="E858" s="13"/>
      <c r="F858" s="13"/>
      <c r="G858" s="13"/>
      <c r="H858" s="13"/>
      <c r="I858" s="13"/>
      <c r="J858" s="13"/>
      <c r="K858" s="13"/>
      <c r="L858" s="13"/>
      <c r="M858" s="13"/>
      <c r="N858" s="98"/>
      <c r="O858" s="98"/>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row>
    <row r="859">
      <c r="A859" s="13"/>
      <c r="B859" s="84"/>
      <c r="C859" s="13"/>
      <c r="D859" s="13"/>
      <c r="E859" s="13"/>
      <c r="F859" s="13"/>
      <c r="G859" s="13"/>
      <c r="H859" s="13"/>
      <c r="I859" s="13"/>
      <c r="J859" s="13"/>
      <c r="K859" s="13"/>
      <c r="L859" s="13"/>
      <c r="M859" s="13"/>
      <c r="N859" s="98"/>
      <c r="O859" s="98"/>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row>
    <row r="860">
      <c r="A860" s="13"/>
      <c r="B860" s="84"/>
      <c r="C860" s="13"/>
      <c r="D860" s="13"/>
      <c r="E860" s="13"/>
      <c r="F860" s="13"/>
      <c r="G860" s="13"/>
      <c r="H860" s="13"/>
      <c r="I860" s="13"/>
      <c r="J860" s="13"/>
      <c r="K860" s="13"/>
      <c r="L860" s="13"/>
      <c r="M860" s="13"/>
      <c r="N860" s="98"/>
      <c r="O860" s="98"/>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row>
    <row r="861">
      <c r="A861" s="13"/>
      <c r="B861" s="84"/>
      <c r="C861" s="13"/>
      <c r="D861" s="13"/>
      <c r="E861" s="13"/>
      <c r="F861" s="13"/>
      <c r="G861" s="13"/>
      <c r="H861" s="13"/>
      <c r="I861" s="13"/>
      <c r="J861" s="13"/>
      <c r="K861" s="13"/>
      <c r="L861" s="13"/>
      <c r="M861" s="13"/>
      <c r="N861" s="98"/>
      <c r="O861" s="98"/>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row>
    <row r="862">
      <c r="A862" s="13"/>
      <c r="B862" s="84"/>
      <c r="C862" s="13"/>
      <c r="D862" s="13"/>
      <c r="E862" s="13"/>
      <c r="F862" s="13"/>
      <c r="G862" s="13"/>
      <c r="H862" s="13"/>
      <c r="I862" s="13"/>
      <c r="J862" s="13"/>
      <c r="K862" s="13"/>
      <c r="L862" s="13"/>
      <c r="M862" s="13"/>
      <c r="N862" s="98"/>
      <c r="O862" s="98"/>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row>
    <row r="863">
      <c r="A863" s="13"/>
      <c r="B863" s="84"/>
      <c r="C863" s="13"/>
      <c r="D863" s="13"/>
      <c r="E863" s="13"/>
      <c r="F863" s="13"/>
      <c r="G863" s="13"/>
      <c r="H863" s="13"/>
      <c r="I863" s="13"/>
      <c r="J863" s="13"/>
      <c r="K863" s="13"/>
      <c r="L863" s="13"/>
      <c r="M863" s="13"/>
      <c r="N863" s="98"/>
      <c r="O863" s="98"/>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row>
    <row r="864">
      <c r="A864" s="13"/>
      <c r="B864" s="84"/>
      <c r="C864" s="13"/>
      <c r="D864" s="13"/>
      <c r="E864" s="13"/>
      <c r="F864" s="13"/>
      <c r="G864" s="13"/>
      <c r="H864" s="13"/>
      <c r="I864" s="13"/>
      <c r="J864" s="13"/>
      <c r="K864" s="13"/>
      <c r="L864" s="13"/>
      <c r="M864" s="13"/>
      <c r="N864" s="98"/>
      <c r="O864" s="98"/>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row>
    <row r="865">
      <c r="A865" s="13"/>
      <c r="B865" s="84"/>
      <c r="C865" s="13"/>
      <c r="D865" s="13"/>
      <c r="E865" s="13"/>
      <c r="F865" s="13"/>
      <c r="G865" s="13"/>
      <c r="H865" s="13"/>
      <c r="I865" s="13"/>
      <c r="J865" s="13"/>
      <c r="K865" s="13"/>
      <c r="L865" s="13"/>
      <c r="M865" s="13"/>
      <c r="N865" s="98"/>
      <c r="O865" s="98"/>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row>
    <row r="866">
      <c r="A866" s="13"/>
      <c r="B866" s="84"/>
      <c r="C866" s="13"/>
      <c r="D866" s="13"/>
      <c r="E866" s="13"/>
      <c r="F866" s="13"/>
      <c r="G866" s="13"/>
      <c r="H866" s="13"/>
      <c r="I866" s="13"/>
      <c r="J866" s="13"/>
      <c r="K866" s="13"/>
      <c r="L866" s="13"/>
      <c r="M866" s="13"/>
      <c r="N866" s="98"/>
      <c r="O866" s="98"/>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row>
    <row r="867">
      <c r="A867" s="13"/>
      <c r="B867" s="84"/>
      <c r="C867" s="13"/>
      <c r="D867" s="13"/>
      <c r="E867" s="13"/>
      <c r="F867" s="13"/>
      <c r="G867" s="13"/>
      <c r="H867" s="13"/>
      <c r="I867" s="13"/>
      <c r="J867" s="13"/>
      <c r="K867" s="13"/>
      <c r="L867" s="13"/>
      <c r="M867" s="13"/>
      <c r="N867" s="98"/>
      <c r="O867" s="98"/>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row>
    <row r="868">
      <c r="A868" s="13"/>
      <c r="B868" s="84"/>
      <c r="C868" s="13"/>
      <c r="D868" s="13"/>
      <c r="E868" s="13"/>
      <c r="F868" s="13"/>
      <c r="G868" s="13"/>
      <c r="H868" s="13"/>
      <c r="I868" s="13"/>
      <c r="J868" s="13"/>
      <c r="K868" s="13"/>
      <c r="L868" s="13"/>
      <c r="M868" s="13"/>
      <c r="N868" s="98"/>
      <c r="O868" s="98"/>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row>
    <row r="869">
      <c r="A869" s="13"/>
      <c r="B869" s="84"/>
      <c r="C869" s="13"/>
      <c r="D869" s="13"/>
      <c r="E869" s="13"/>
      <c r="F869" s="13"/>
      <c r="G869" s="13"/>
      <c r="H869" s="13"/>
      <c r="I869" s="13"/>
      <c r="J869" s="13"/>
      <c r="K869" s="13"/>
      <c r="L869" s="13"/>
      <c r="M869" s="13"/>
      <c r="N869" s="98"/>
      <c r="O869" s="98"/>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row>
    <row r="870">
      <c r="A870" s="13"/>
      <c r="B870" s="84"/>
      <c r="C870" s="13"/>
      <c r="D870" s="13"/>
      <c r="E870" s="13"/>
      <c r="F870" s="13"/>
      <c r="G870" s="13"/>
      <c r="H870" s="13"/>
      <c r="I870" s="13"/>
      <c r="J870" s="13"/>
      <c r="K870" s="13"/>
      <c r="L870" s="13"/>
      <c r="M870" s="13"/>
      <c r="N870" s="98"/>
      <c r="O870" s="98"/>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row>
    <row r="871">
      <c r="A871" s="13"/>
      <c r="B871" s="84"/>
      <c r="C871" s="13"/>
      <c r="D871" s="13"/>
      <c r="E871" s="13"/>
      <c r="F871" s="13"/>
      <c r="G871" s="13"/>
      <c r="H871" s="13"/>
      <c r="I871" s="13"/>
      <c r="J871" s="13"/>
      <c r="K871" s="13"/>
      <c r="L871" s="13"/>
      <c r="M871" s="13"/>
      <c r="N871" s="98"/>
      <c r="O871" s="98"/>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row>
    <row r="872">
      <c r="A872" s="13"/>
      <c r="B872" s="84"/>
      <c r="C872" s="13"/>
      <c r="D872" s="13"/>
      <c r="E872" s="13"/>
      <c r="F872" s="13"/>
      <c r="G872" s="13"/>
      <c r="H872" s="13"/>
      <c r="I872" s="13"/>
      <c r="J872" s="13"/>
      <c r="K872" s="13"/>
      <c r="L872" s="13"/>
      <c r="M872" s="13"/>
      <c r="N872" s="98"/>
      <c r="O872" s="98"/>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row>
    <row r="873">
      <c r="A873" s="13"/>
      <c r="B873" s="84"/>
      <c r="C873" s="13"/>
      <c r="D873" s="13"/>
      <c r="E873" s="13"/>
      <c r="F873" s="13"/>
      <c r="G873" s="13"/>
      <c r="H873" s="13"/>
      <c r="I873" s="13"/>
      <c r="J873" s="13"/>
      <c r="K873" s="13"/>
      <c r="L873" s="13"/>
      <c r="M873" s="13"/>
      <c r="N873" s="98"/>
      <c r="O873" s="98"/>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row>
    <row r="874">
      <c r="A874" s="13"/>
      <c r="B874" s="84"/>
      <c r="C874" s="13"/>
      <c r="D874" s="13"/>
      <c r="E874" s="13"/>
      <c r="F874" s="13"/>
      <c r="G874" s="13"/>
      <c r="H874" s="13"/>
      <c r="I874" s="13"/>
      <c r="J874" s="13"/>
      <c r="K874" s="13"/>
      <c r="L874" s="13"/>
      <c r="M874" s="13"/>
      <c r="N874" s="98"/>
      <c r="O874" s="98"/>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row>
    <row r="875">
      <c r="A875" s="13"/>
      <c r="B875" s="84"/>
      <c r="C875" s="13"/>
      <c r="D875" s="13"/>
      <c r="E875" s="13"/>
      <c r="F875" s="13"/>
      <c r="G875" s="13"/>
      <c r="H875" s="13"/>
      <c r="I875" s="13"/>
      <c r="J875" s="13"/>
      <c r="K875" s="13"/>
      <c r="L875" s="13"/>
      <c r="M875" s="13"/>
      <c r="N875" s="98"/>
      <c r="O875" s="98"/>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row>
    <row r="876">
      <c r="A876" s="13"/>
      <c r="B876" s="84"/>
      <c r="C876" s="13"/>
      <c r="D876" s="13"/>
      <c r="E876" s="13"/>
      <c r="F876" s="13"/>
      <c r="G876" s="13"/>
      <c r="H876" s="13"/>
      <c r="I876" s="13"/>
      <c r="J876" s="13"/>
      <c r="K876" s="13"/>
      <c r="L876" s="13"/>
      <c r="M876" s="13"/>
      <c r="N876" s="98"/>
      <c r="O876" s="98"/>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row>
    <row r="877">
      <c r="A877" s="13"/>
      <c r="B877" s="84"/>
      <c r="C877" s="13"/>
      <c r="D877" s="13"/>
      <c r="E877" s="13"/>
      <c r="F877" s="13"/>
      <c r="G877" s="13"/>
      <c r="H877" s="13"/>
      <c r="I877" s="13"/>
      <c r="J877" s="13"/>
      <c r="K877" s="13"/>
      <c r="L877" s="13"/>
      <c r="M877" s="13"/>
      <c r="N877" s="98"/>
      <c r="O877" s="98"/>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row>
    <row r="878">
      <c r="A878" s="13"/>
      <c r="B878" s="84"/>
      <c r="C878" s="13"/>
      <c r="D878" s="13"/>
      <c r="E878" s="13"/>
      <c r="F878" s="13"/>
      <c r="G878" s="13"/>
      <c r="H878" s="13"/>
      <c r="I878" s="13"/>
      <c r="J878" s="13"/>
      <c r="K878" s="13"/>
      <c r="L878" s="13"/>
      <c r="M878" s="13"/>
      <c r="N878" s="98"/>
      <c r="O878" s="98"/>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row>
    <row r="879">
      <c r="A879" s="13"/>
      <c r="B879" s="84"/>
      <c r="C879" s="13"/>
      <c r="D879" s="13"/>
      <c r="E879" s="13"/>
      <c r="F879" s="13"/>
      <c r="G879" s="13"/>
      <c r="H879" s="13"/>
      <c r="I879" s="13"/>
      <c r="J879" s="13"/>
      <c r="K879" s="13"/>
      <c r="L879" s="13"/>
      <c r="M879" s="13"/>
      <c r="N879" s="98"/>
      <c r="O879" s="98"/>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row>
    <row r="880">
      <c r="A880" s="13"/>
      <c r="B880" s="84"/>
      <c r="C880" s="13"/>
      <c r="D880" s="13"/>
      <c r="E880" s="13"/>
      <c r="F880" s="13"/>
      <c r="G880" s="13"/>
      <c r="H880" s="13"/>
      <c r="I880" s="13"/>
      <c r="J880" s="13"/>
      <c r="K880" s="13"/>
      <c r="L880" s="13"/>
      <c r="M880" s="13"/>
      <c r="N880" s="98"/>
      <c r="O880" s="98"/>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row>
    <row r="881">
      <c r="A881" s="13"/>
      <c r="B881" s="84"/>
      <c r="C881" s="13"/>
      <c r="D881" s="13"/>
      <c r="E881" s="13"/>
      <c r="F881" s="13"/>
      <c r="G881" s="13"/>
      <c r="H881" s="13"/>
      <c r="I881" s="13"/>
      <c r="J881" s="13"/>
      <c r="K881" s="13"/>
      <c r="L881" s="13"/>
      <c r="M881" s="13"/>
      <c r="N881" s="98"/>
      <c r="O881" s="98"/>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row>
    <row r="882">
      <c r="A882" s="13"/>
      <c r="B882" s="84"/>
      <c r="C882" s="13"/>
      <c r="D882" s="13"/>
      <c r="E882" s="13"/>
      <c r="F882" s="13"/>
      <c r="G882" s="13"/>
      <c r="H882" s="13"/>
      <c r="I882" s="13"/>
      <c r="J882" s="13"/>
      <c r="K882" s="13"/>
      <c r="L882" s="13"/>
      <c r="M882" s="13"/>
      <c r="N882" s="98"/>
      <c r="O882" s="98"/>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row>
    <row r="883">
      <c r="A883" s="13"/>
      <c r="B883" s="84"/>
      <c r="C883" s="13"/>
      <c r="D883" s="13"/>
      <c r="E883" s="13"/>
      <c r="F883" s="13"/>
      <c r="G883" s="13"/>
      <c r="H883" s="13"/>
      <c r="I883" s="13"/>
      <c r="J883" s="13"/>
      <c r="K883" s="13"/>
      <c r="L883" s="13"/>
      <c r="M883" s="13"/>
      <c r="N883" s="98"/>
      <c r="O883" s="98"/>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row>
    <row r="884">
      <c r="A884" s="13"/>
      <c r="B884" s="84"/>
      <c r="C884" s="13"/>
      <c r="D884" s="13"/>
      <c r="E884" s="13"/>
      <c r="F884" s="13"/>
      <c r="G884" s="13"/>
      <c r="H884" s="13"/>
      <c r="I884" s="13"/>
      <c r="J884" s="13"/>
      <c r="K884" s="13"/>
      <c r="L884" s="13"/>
      <c r="M884" s="13"/>
      <c r="N884" s="98"/>
      <c r="O884" s="98"/>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row>
    <row r="885">
      <c r="A885" s="13"/>
      <c r="B885" s="84"/>
      <c r="C885" s="13"/>
      <c r="D885" s="13"/>
      <c r="E885" s="13"/>
      <c r="F885" s="13"/>
      <c r="G885" s="13"/>
      <c r="H885" s="13"/>
      <c r="I885" s="13"/>
      <c r="J885" s="13"/>
      <c r="K885" s="13"/>
      <c r="L885" s="13"/>
      <c r="M885" s="13"/>
      <c r="N885" s="98"/>
      <c r="O885" s="98"/>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row>
    <row r="886">
      <c r="A886" s="13"/>
      <c r="B886" s="84"/>
      <c r="C886" s="13"/>
      <c r="D886" s="13"/>
      <c r="E886" s="13"/>
      <c r="F886" s="13"/>
      <c r="G886" s="13"/>
      <c r="H886" s="13"/>
      <c r="I886" s="13"/>
      <c r="J886" s="13"/>
      <c r="K886" s="13"/>
      <c r="L886" s="13"/>
      <c r="M886" s="13"/>
      <c r="N886" s="98"/>
      <c r="O886" s="98"/>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row>
    <row r="887">
      <c r="A887" s="13"/>
      <c r="B887" s="84"/>
      <c r="C887" s="13"/>
      <c r="D887" s="13"/>
      <c r="E887" s="13"/>
      <c r="F887" s="13"/>
      <c r="G887" s="13"/>
      <c r="H887" s="13"/>
      <c r="I887" s="13"/>
      <c r="J887" s="13"/>
      <c r="K887" s="13"/>
      <c r="L887" s="13"/>
      <c r="M887" s="13"/>
      <c r="N887" s="98"/>
      <c r="O887" s="98"/>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row>
    <row r="888">
      <c r="A888" s="13"/>
      <c r="B888" s="84"/>
      <c r="C888" s="13"/>
      <c r="D888" s="13"/>
      <c r="E888" s="13"/>
      <c r="F888" s="13"/>
      <c r="G888" s="13"/>
      <c r="H888" s="13"/>
      <c r="I888" s="13"/>
      <c r="J888" s="13"/>
      <c r="K888" s="13"/>
      <c r="L888" s="13"/>
      <c r="M888" s="13"/>
      <c r="N888" s="98"/>
      <c r="O888" s="98"/>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row>
    <row r="889">
      <c r="A889" s="13"/>
      <c r="B889" s="84"/>
      <c r="C889" s="13"/>
      <c r="D889" s="13"/>
      <c r="E889" s="13"/>
      <c r="F889" s="13"/>
      <c r="G889" s="13"/>
      <c r="H889" s="13"/>
      <c r="I889" s="13"/>
      <c r="J889" s="13"/>
      <c r="K889" s="13"/>
      <c r="L889" s="13"/>
      <c r="M889" s="13"/>
      <c r="N889" s="98"/>
      <c r="O889" s="98"/>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row>
    <row r="890">
      <c r="A890" s="13"/>
      <c r="B890" s="84"/>
      <c r="C890" s="13"/>
      <c r="D890" s="13"/>
      <c r="E890" s="13"/>
      <c r="F890" s="13"/>
      <c r="G890" s="13"/>
      <c r="H890" s="13"/>
      <c r="I890" s="13"/>
      <c r="J890" s="13"/>
      <c r="K890" s="13"/>
      <c r="L890" s="13"/>
      <c r="M890" s="13"/>
      <c r="N890" s="98"/>
      <c r="O890" s="98"/>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row>
    <row r="891">
      <c r="A891" s="13"/>
      <c r="B891" s="84"/>
      <c r="C891" s="13"/>
      <c r="D891" s="13"/>
      <c r="E891" s="13"/>
      <c r="F891" s="13"/>
      <c r="G891" s="13"/>
      <c r="H891" s="13"/>
      <c r="I891" s="13"/>
      <c r="J891" s="13"/>
      <c r="K891" s="13"/>
      <c r="L891" s="13"/>
      <c r="M891" s="13"/>
      <c r="N891" s="98"/>
      <c r="O891" s="98"/>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row>
    <row r="892">
      <c r="A892" s="13"/>
      <c r="B892" s="84"/>
      <c r="C892" s="13"/>
      <c r="D892" s="13"/>
      <c r="E892" s="13"/>
      <c r="F892" s="13"/>
      <c r="G892" s="13"/>
      <c r="H892" s="13"/>
      <c r="I892" s="13"/>
      <c r="J892" s="13"/>
      <c r="K892" s="13"/>
      <c r="L892" s="13"/>
      <c r="M892" s="13"/>
      <c r="N892" s="98"/>
      <c r="O892" s="98"/>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row>
    <row r="893">
      <c r="A893" s="13"/>
      <c r="B893" s="84"/>
      <c r="C893" s="13"/>
      <c r="D893" s="13"/>
      <c r="E893" s="13"/>
      <c r="F893" s="13"/>
      <c r="G893" s="13"/>
      <c r="H893" s="13"/>
      <c r="I893" s="13"/>
      <c r="J893" s="13"/>
      <c r="K893" s="13"/>
      <c r="L893" s="13"/>
      <c r="M893" s="13"/>
      <c r="N893" s="98"/>
      <c r="O893" s="98"/>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row>
    <row r="894">
      <c r="A894" s="13"/>
      <c r="B894" s="84"/>
      <c r="C894" s="13"/>
      <c r="D894" s="13"/>
      <c r="E894" s="13"/>
      <c r="F894" s="13"/>
      <c r="G894" s="13"/>
      <c r="H894" s="13"/>
      <c r="I894" s="13"/>
      <c r="J894" s="13"/>
      <c r="K894" s="13"/>
      <c r="L894" s="13"/>
      <c r="M894" s="13"/>
      <c r="N894" s="98"/>
      <c r="O894" s="98"/>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row>
    <row r="895">
      <c r="A895" s="13"/>
      <c r="B895" s="84"/>
      <c r="C895" s="13"/>
      <c r="D895" s="13"/>
      <c r="E895" s="13"/>
      <c r="F895" s="13"/>
      <c r="G895" s="13"/>
      <c r="H895" s="13"/>
      <c r="I895" s="13"/>
      <c r="J895" s="13"/>
      <c r="K895" s="13"/>
      <c r="L895" s="13"/>
      <c r="M895" s="13"/>
      <c r="N895" s="98"/>
      <c r="O895" s="98"/>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row>
    <row r="896">
      <c r="A896" s="13"/>
      <c r="B896" s="84"/>
      <c r="C896" s="13"/>
      <c r="D896" s="13"/>
      <c r="E896" s="13"/>
      <c r="F896" s="13"/>
      <c r="G896" s="13"/>
      <c r="H896" s="13"/>
      <c r="I896" s="13"/>
      <c r="J896" s="13"/>
      <c r="K896" s="13"/>
      <c r="L896" s="13"/>
      <c r="M896" s="13"/>
      <c r="N896" s="98"/>
      <c r="O896" s="98"/>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row>
    <row r="897">
      <c r="A897" s="13"/>
      <c r="B897" s="84"/>
      <c r="C897" s="13"/>
      <c r="D897" s="13"/>
      <c r="E897" s="13"/>
      <c r="F897" s="13"/>
      <c r="G897" s="13"/>
      <c r="H897" s="13"/>
      <c r="I897" s="13"/>
      <c r="J897" s="13"/>
      <c r="K897" s="13"/>
      <c r="L897" s="13"/>
      <c r="M897" s="13"/>
      <c r="N897" s="98"/>
      <c r="O897" s="98"/>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row>
    <row r="898">
      <c r="A898" s="13"/>
      <c r="B898" s="84"/>
      <c r="C898" s="13"/>
      <c r="D898" s="13"/>
      <c r="E898" s="13"/>
      <c r="F898" s="13"/>
      <c r="G898" s="13"/>
      <c r="H898" s="13"/>
      <c r="I898" s="13"/>
      <c r="J898" s="13"/>
      <c r="K898" s="13"/>
      <c r="L898" s="13"/>
      <c r="M898" s="13"/>
      <c r="N898" s="98"/>
      <c r="O898" s="98"/>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row>
    <row r="899">
      <c r="A899" s="13"/>
      <c r="B899" s="84"/>
      <c r="C899" s="13"/>
      <c r="D899" s="13"/>
      <c r="E899" s="13"/>
      <c r="F899" s="13"/>
      <c r="G899" s="13"/>
      <c r="H899" s="13"/>
      <c r="I899" s="13"/>
      <c r="J899" s="13"/>
      <c r="K899" s="13"/>
      <c r="L899" s="13"/>
      <c r="M899" s="13"/>
      <c r="N899" s="98"/>
      <c r="O899" s="98"/>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row>
    <row r="900">
      <c r="A900" s="13"/>
      <c r="B900" s="84"/>
      <c r="C900" s="13"/>
      <c r="D900" s="13"/>
      <c r="E900" s="13"/>
      <c r="F900" s="13"/>
      <c r="G900" s="13"/>
      <c r="H900" s="13"/>
      <c r="I900" s="13"/>
      <c r="J900" s="13"/>
      <c r="K900" s="13"/>
      <c r="L900" s="13"/>
      <c r="M900" s="13"/>
      <c r="N900" s="98"/>
      <c r="O900" s="98"/>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row>
    <row r="901">
      <c r="A901" s="13"/>
      <c r="B901" s="84"/>
      <c r="C901" s="13"/>
      <c r="D901" s="13"/>
      <c r="E901" s="13"/>
      <c r="F901" s="13"/>
      <c r="G901" s="13"/>
      <c r="H901" s="13"/>
      <c r="I901" s="13"/>
      <c r="J901" s="13"/>
      <c r="K901" s="13"/>
      <c r="L901" s="13"/>
      <c r="M901" s="13"/>
      <c r="N901" s="98"/>
      <c r="O901" s="98"/>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row>
    <row r="902">
      <c r="A902" s="13"/>
      <c r="B902" s="84"/>
      <c r="C902" s="13"/>
      <c r="D902" s="13"/>
      <c r="E902" s="13"/>
      <c r="F902" s="13"/>
      <c r="G902" s="13"/>
      <c r="H902" s="13"/>
      <c r="I902" s="13"/>
      <c r="J902" s="13"/>
      <c r="K902" s="13"/>
      <c r="L902" s="13"/>
      <c r="M902" s="13"/>
      <c r="N902" s="98"/>
      <c r="O902" s="98"/>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row>
    <row r="903">
      <c r="A903" s="13"/>
      <c r="B903" s="84"/>
      <c r="C903" s="13"/>
      <c r="D903" s="13"/>
      <c r="E903" s="13"/>
      <c r="F903" s="13"/>
      <c r="G903" s="13"/>
      <c r="H903" s="13"/>
      <c r="I903" s="13"/>
      <c r="J903" s="13"/>
      <c r="K903" s="13"/>
      <c r="L903" s="13"/>
      <c r="M903" s="13"/>
      <c r="N903" s="98"/>
      <c r="O903" s="98"/>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row>
    <row r="904">
      <c r="A904" s="13"/>
      <c r="B904" s="84"/>
      <c r="C904" s="13"/>
      <c r="D904" s="13"/>
      <c r="E904" s="13"/>
      <c r="F904" s="13"/>
      <c r="G904" s="13"/>
      <c r="H904" s="13"/>
      <c r="I904" s="13"/>
      <c r="J904" s="13"/>
      <c r="K904" s="13"/>
      <c r="L904" s="13"/>
      <c r="M904" s="13"/>
      <c r="N904" s="98"/>
      <c r="O904" s="98"/>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row>
    <row r="905">
      <c r="A905" s="13"/>
      <c r="B905" s="84"/>
      <c r="C905" s="13"/>
      <c r="D905" s="13"/>
      <c r="E905" s="13"/>
      <c r="F905" s="13"/>
      <c r="G905" s="13"/>
      <c r="H905" s="13"/>
      <c r="I905" s="13"/>
      <c r="J905" s="13"/>
      <c r="K905" s="13"/>
      <c r="L905" s="13"/>
      <c r="M905" s="13"/>
      <c r="N905" s="98"/>
      <c r="O905" s="98"/>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row>
    <row r="906">
      <c r="A906" s="13"/>
      <c r="B906" s="84"/>
      <c r="C906" s="13"/>
      <c r="D906" s="13"/>
      <c r="E906" s="13"/>
      <c r="F906" s="13"/>
      <c r="G906" s="13"/>
      <c r="H906" s="13"/>
      <c r="I906" s="13"/>
      <c r="J906" s="13"/>
      <c r="K906" s="13"/>
      <c r="L906" s="13"/>
      <c r="M906" s="13"/>
      <c r="N906" s="98"/>
      <c r="O906" s="98"/>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row>
    <row r="907">
      <c r="A907" s="13"/>
      <c r="B907" s="84"/>
      <c r="C907" s="13"/>
      <c r="D907" s="13"/>
      <c r="E907" s="13"/>
      <c r="F907" s="13"/>
      <c r="G907" s="13"/>
      <c r="H907" s="13"/>
      <c r="I907" s="13"/>
      <c r="J907" s="13"/>
      <c r="K907" s="13"/>
      <c r="L907" s="13"/>
      <c r="M907" s="13"/>
      <c r="N907" s="98"/>
      <c r="O907" s="98"/>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row>
    <row r="908">
      <c r="A908" s="13"/>
      <c r="B908" s="84"/>
      <c r="C908" s="13"/>
      <c r="D908" s="13"/>
      <c r="E908" s="13"/>
      <c r="F908" s="13"/>
      <c r="G908" s="13"/>
      <c r="H908" s="13"/>
      <c r="I908" s="13"/>
      <c r="J908" s="13"/>
      <c r="K908" s="13"/>
      <c r="L908" s="13"/>
      <c r="M908" s="13"/>
      <c r="N908" s="98"/>
      <c r="O908" s="98"/>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row>
    <row r="909">
      <c r="A909" s="13"/>
      <c r="B909" s="84"/>
      <c r="C909" s="13"/>
      <c r="D909" s="13"/>
      <c r="E909" s="13"/>
      <c r="F909" s="13"/>
      <c r="G909" s="13"/>
      <c r="H909" s="13"/>
      <c r="I909" s="13"/>
      <c r="J909" s="13"/>
      <c r="K909" s="13"/>
      <c r="L909" s="13"/>
      <c r="M909" s="13"/>
      <c r="N909" s="98"/>
      <c r="O909" s="98"/>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row>
    <row r="910">
      <c r="A910" s="13"/>
      <c r="B910" s="84"/>
      <c r="C910" s="13"/>
      <c r="D910" s="13"/>
      <c r="E910" s="13"/>
      <c r="F910" s="13"/>
      <c r="G910" s="13"/>
      <c r="H910" s="13"/>
      <c r="I910" s="13"/>
      <c r="J910" s="13"/>
      <c r="K910" s="13"/>
      <c r="L910" s="13"/>
      <c r="M910" s="13"/>
      <c r="N910" s="98"/>
      <c r="O910" s="98"/>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row>
    <row r="911">
      <c r="A911" s="13"/>
      <c r="B911" s="84"/>
      <c r="C911" s="13"/>
      <c r="D911" s="13"/>
      <c r="E911" s="13"/>
      <c r="F911" s="13"/>
      <c r="G911" s="13"/>
      <c r="H911" s="13"/>
      <c r="I911" s="13"/>
      <c r="J911" s="13"/>
      <c r="K911" s="13"/>
      <c r="L911" s="13"/>
      <c r="M911" s="13"/>
      <c r="N911" s="98"/>
      <c r="O911" s="98"/>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row>
    <row r="912">
      <c r="A912" s="13"/>
      <c r="B912" s="84"/>
      <c r="C912" s="13"/>
      <c r="D912" s="13"/>
      <c r="E912" s="13"/>
      <c r="F912" s="13"/>
      <c r="G912" s="13"/>
      <c r="H912" s="13"/>
      <c r="I912" s="13"/>
      <c r="J912" s="13"/>
      <c r="K912" s="13"/>
      <c r="L912" s="13"/>
      <c r="M912" s="13"/>
      <c r="N912" s="98"/>
      <c r="O912" s="98"/>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row>
    <row r="913">
      <c r="A913" s="13"/>
      <c r="B913" s="84"/>
      <c r="C913" s="13"/>
      <c r="D913" s="13"/>
      <c r="E913" s="13"/>
      <c r="F913" s="13"/>
      <c r="G913" s="13"/>
      <c r="H913" s="13"/>
      <c r="I913" s="13"/>
      <c r="J913" s="13"/>
      <c r="K913" s="13"/>
      <c r="L913" s="13"/>
      <c r="M913" s="13"/>
      <c r="N913" s="98"/>
      <c r="O913" s="98"/>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row>
    <row r="914">
      <c r="A914" s="13"/>
      <c r="B914" s="84"/>
      <c r="C914" s="13"/>
      <c r="D914" s="13"/>
      <c r="E914" s="13"/>
      <c r="F914" s="13"/>
      <c r="G914" s="13"/>
      <c r="H914" s="13"/>
      <c r="I914" s="13"/>
      <c r="J914" s="13"/>
      <c r="K914" s="13"/>
      <c r="L914" s="13"/>
      <c r="M914" s="13"/>
      <c r="N914" s="98"/>
      <c r="O914" s="98"/>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row>
    <row r="915">
      <c r="A915" s="13"/>
      <c r="B915" s="84"/>
      <c r="C915" s="13"/>
      <c r="D915" s="13"/>
      <c r="E915" s="13"/>
      <c r="F915" s="13"/>
      <c r="G915" s="13"/>
      <c r="H915" s="13"/>
      <c r="I915" s="13"/>
      <c r="J915" s="13"/>
      <c r="K915" s="13"/>
      <c r="L915" s="13"/>
      <c r="M915" s="13"/>
      <c r="N915" s="98"/>
      <c r="O915" s="98"/>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row>
    <row r="916">
      <c r="A916" s="13"/>
      <c r="B916" s="84"/>
      <c r="C916" s="13"/>
      <c r="D916" s="13"/>
      <c r="E916" s="13"/>
      <c r="F916" s="13"/>
      <c r="G916" s="13"/>
      <c r="H916" s="13"/>
      <c r="I916" s="13"/>
      <c r="J916" s="13"/>
      <c r="K916" s="13"/>
      <c r="L916" s="13"/>
      <c r="M916" s="13"/>
      <c r="N916" s="98"/>
      <c r="O916" s="98"/>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row>
    <row r="917">
      <c r="A917" s="13"/>
      <c r="B917" s="84"/>
      <c r="C917" s="13"/>
      <c r="D917" s="13"/>
      <c r="E917" s="13"/>
      <c r="F917" s="13"/>
      <c r="G917" s="13"/>
      <c r="H917" s="13"/>
      <c r="I917" s="13"/>
      <c r="J917" s="13"/>
      <c r="K917" s="13"/>
      <c r="L917" s="13"/>
      <c r="M917" s="13"/>
      <c r="N917" s="98"/>
      <c r="O917" s="98"/>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row>
    <row r="918">
      <c r="A918" s="13"/>
      <c r="B918" s="84"/>
      <c r="C918" s="13"/>
      <c r="D918" s="13"/>
      <c r="E918" s="13"/>
      <c r="F918" s="13"/>
      <c r="G918" s="13"/>
      <c r="H918" s="13"/>
      <c r="I918" s="13"/>
      <c r="J918" s="13"/>
      <c r="K918" s="13"/>
      <c r="L918" s="13"/>
      <c r="M918" s="13"/>
      <c r="N918" s="98"/>
      <c r="O918" s="98"/>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row>
    <row r="919">
      <c r="A919" s="13"/>
      <c r="B919" s="84"/>
      <c r="C919" s="13"/>
      <c r="D919" s="13"/>
      <c r="E919" s="13"/>
      <c r="F919" s="13"/>
      <c r="G919" s="13"/>
      <c r="H919" s="13"/>
      <c r="I919" s="13"/>
      <c r="J919" s="13"/>
      <c r="K919" s="13"/>
      <c r="L919" s="13"/>
      <c r="M919" s="13"/>
      <c r="N919" s="98"/>
      <c r="O919" s="98"/>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row>
    <row r="920">
      <c r="A920" s="13"/>
      <c r="B920" s="84"/>
      <c r="C920" s="13"/>
      <c r="D920" s="13"/>
      <c r="E920" s="13"/>
      <c r="F920" s="13"/>
      <c r="G920" s="13"/>
      <c r="H920" s="13"/>
      <c r="I920" s="13"/>
      <c r="J920" s="13"/>
      <c r="K920" s="13"/>
      <c r="L920" s="13"/>
      <c r="M920" s="13"/>
      <c r="N920" s="98"/>
      <c r="O920" s="98"/>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row>
    <row r="921">
      <c r="A921" s="13"/>
      <c r="B921" s="84"/>
      <c r="C921" s="13"/>
      <c r="D921" s="13"/>
      <c r="E921" s="13"/>
      <c r="F921" s="13"/>
      <c r="G921" s="13"/>
      <c r="H921" s="13"/>
      <c r="I921" s="13"/>
      <c r="J921" s="13"/>
      <c r="K921" s="13"/>
      <c r="L921" s="13"/>
      <c r="M921" s="13"/>
      <c r="N921" s="98"/>
      <c r="O921" s="98"/>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row>
    <row r="922">
      <c r="A922" s="13"/>
      <c r="B922" s="84"/>
      <c r="C922" s="13"/>
      <c r="D922" s="13"/>
      <c r="E922" s="13"/>
      <c r="F922" s="13"/>
      <c r="G922" s="13"/>
      <c r="H922" s="13"/>
      <c r="I922" s="13"/>
      <c r="J922" s="13"/>
      <c r="K922" s="13"/>
      <c r="L922" s="13"/>
      <c r="M922" s="13"/>
      <c r="N922" s="98"/>
      <c r="O922" s="98"/>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row>
    <row r="923">
      <c r="A923" s="13"/>
      <c r="B923" s="84"/>
      <c r="C923" s="13"/>
      <c r="D923" s="13"/>
      <c r="E923" s="13"/>
      <c r="F923" s="13"/>
      <c r="G923" s="13"/>
      <c r="H923" s="13"/>
      <c r="I923" s="13"/>
      <c r="J923" s="13"/>
      <c r="K923" s="13"/>
      <c r="L923" s="13"/>
      <c r="M923" s="13"/>
      <c r="N923" s="98"/>
      <c r="O923" s="98"/>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row>
    <row r="924">
      <c r="A924" s="13"/>
      <c r="B924" s="84"/>
      <c r="C924" s="13"/>
      <c r="D924" s="13"/>
      <c r="E924" s="13"/>
      <c r="F924" s="13"/>
      <c r="G924" s="13"/>
      <c r="H924" s="13"/>
      <c r="I924" s="13"/>
      <c r="J924" s="13"/>
      <c r="K924" s="13"/>
      <c r="L924" s="13"/>
      <c r="M924" s="13"/>
      <c r="N924" s="98"/>
      <c r="O924" s="98"/>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row>
    <row r="925">
      <c r="A925" s="13"/>
      <c r="B925" s="84"/>
      <c r="C925" s="13"/>
      <c r="D925" s="13"/>
      <c r="E925" s="13"/>
      <c r="F925" s="13"/>
      <c r="G925" s="13"/>
      <c r="H925" s="13"/>
      <c r="I925" s="13"/>
      <c r="J925" s="13"/>
      <c r="K925" s="13"/>
      <c r="L925" s="13"/>
      <c r="M925" s="13"/>
      <c r="N925" s="98"/>
      <c r="O925" s="98"/>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row>
    <row r="926">
      <c r="A926" s="13"/>
      <c r="B926" s="84"/>
      <c r="C926" s="13"/>
      <c r="D926" s="13"/>
      <c r="E926" s="13"/>
      <c r="F926" s="13"/>
      <c r="G926" s="13"/>
      <c r="H926" s="13"/>
      <c r="I926" s="13"/>
      <c r="J926" s="13"/>
      <c r="K926" s="13"/>
      <c r="L926" s="13"/>
      <c r="M926" s="13"/>
      <c r="N926" s="98"/>
      <c r="O926" s="98"/>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row>
    <row r="927">
      <c r="A927" s="13"/>
      <c r="B927" s="84"/>
      <c r="C927" s="13"/>
      <c r="D927" s="13"/>
      <c r="E927" s="13"/>
      <c r="F927" s="13"/>
      <c r="G927" s="13"/>
      <c r="H927" s="13"/>
      <c r="I927" s="13"/>
      <c r="J927" s="13"/>
      <c r="K927" s="13"/>
      <c r="L927" s="13"/>
      <c r="M927" s="13"/>
      <c r="N927" s="98"/>
      <c r="O927" s="98"/>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row>
    <row r="928">
      <c r="A928" s="13"/>
      <c r="B928" s="84"/>
      <c r="C928" s="13"/>
      <c r="D928" s="13"/>
      <c r="E928" s="13"/>
      <c r="F928" s="13"/>
      <c r="G928" s="13"/>
      <c r="H928" s="13"/>
      <c r="I928" s="13"/>
      <c r="J928" s="13"/>
      <c r="K928" s="13"/>
      <c r="L928" s="13"/>
      <c r="M928" s="13"/>
      <c r="N928" s="98"/>
      <c r="O928" s="98"/>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row>
    <row r="929">
      <c r="A929" s="13"/>
      <c r="B929" s="84"/>
      <c r="C929" s="13"/>
      <c r="D929" s="13"/>
      <c r="E929" s="13"/>
      <c r="F929" s="13"/>
      <c r="G929" s="13"/>
      <c r="H929" s="13"/>
      <c r="I929" s="13"/>
      <c r="J929" s="13"/>
      <c r="K929" s="13"/>
      <c r="L929" s="13"/>
      <c r="M929" s="13"/>
      <c r="N929" s="98"/>
      <c r="O929" s="98"/>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row>
    <row r="930">
      <c r="A930" s="13"/>
      <c r="B930" s="84"/>
      <c r="C930" s="13"/>
      <c r="D930" s="13"/>
      <c r="E930" s="13"/>
      <c r="F930" s="13"/>
      <c r="G930" s="13"/>
      <c r="H930" s="13"/>
      <c r="I930" s="13"/>
      <c r="J930" s="13"/>
      <c r="K930" s="13"/>
      <c r="L930" s="13"/>
      <c r="M930" s="13"/>
      <c r="N930" s="98"/>
      <c r="O930" s="98"/>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row>
    <row r="931">
      <c r="A931" s="13"/>
      <c r="B931" s="84"/>
      <c r="C931" s="13"/>
      <c r="D931" s="13"/>
      <c r="E931" s="13"/>
      <c r="F931" s="13"/>
      <c r="G931" s="13"/>
      <c r="H931" s="13"/>
      <c r="I931" s="13"/>
      <c r="J931" s="13"/>
      <c r="K931" s="13"/>
      <c r="L931" s="13"/>
      <c r="M931" s="13"/>
      <c r="N931" s="98"/>
      <c r="O931" s="98"/>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row>
    <row r="932">
      <c r="A932" s="13"/>
      <c r="B932" s="84"/>
      <c r="C932" s="13"/>
      <c r="D932" s="13"/>
      <c r="E932" s="13"/>
      <c r="F932" s="13"/>
      <c r="G932" s="13"/>
      <c r="H932" s="13"/>
      <c r="I932" s="13"/>
      <c r="J932" s="13"/>
      <c r="K932" s="13"/>
      <c r="L932" s="13"/>
      <c r="M932" s="13"/>
      <c r="N932" s="98"/>
      <c r="O932" s="98"/>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row>
    <row r="933">
      <c r="A933" s="13"/>
      <c r="B933" s="84"/>
      <c r="C933" s="13"/>
      <c r="D933" s="13"/>
      <c r="E933" s="13"/>
      <c r="F933" s="13"/>
      <c r="G933" s="13"/>
      <c r="H933" s="13"/>
      <c r="I933" s="13"/>
      <c r="J933" s="13"/>
      <c r="K933" s="13"/>
      <c r="L933" s="13"/>
      <c r="M933" s="13"/>
      <c r="N933" s="98"/>
      <c r="O933" s="98"/>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row>
    <row r="934">
      <c r="A934" s="13"/>
      <c r="B934" s="84"/>
      <c r="C934" s="13"/>
      <c r="D934" s="13"/>
      <c r="E934" s="13"/>
      <c r="F934" s="13"/>
      <c r="G934" s="13"/>
      <c r="H934" s="13"/>
      <c r="I934" s="13"/>
      <c r="J934" s="13"/>
      <c r="K934" s="13"/>
      <c r="L934" s="13"/>
      <c r="M934" s="13"/>
      <c r="N934" s="98"/>
      <c r="O934" s="98"/>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row>
    <row r="935">
      <c r="A935" s="13"/>
      <c r="B935" s="84"/>
      <c r="C935" s="13"/>
      <c r="D935" s="13"/>
      <c r="E935" s="13"/>
      <c r="F935" s="13"/>
      <c r="G935" s="13"/>
      <c r="H935" s="13"/>
      <c r="I935" s="13"/>
      <c r="J935" s="13"/>
      <c r="K935" s="13"/>
      <c r="L935" s="13"/>
      <c r="M935" s="13"/>
      <c r="N935" s="98"/>
      <c r="O935" s="98"/>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row>
    <row r="936">
      <c r="A936" s="13"/>
      <c r="B936" s="84"/>
      <c r="C936" s="13"/>
      <c r="D936" s="13"/>
      <c r="E936" s="13"/>
      <c r="F936" s="13"/>
      <c r="G936" s="13"/>
      <c r="H936" s="13"/>
      <c r="I936" s="13"/>
      <c r="J936" s="13"/>
      <c r="K936" s="13"/>
      <c r="L936" s="13"/>
      <c r="M936" s="13"/>
      <c r="N936" s="98"/>
      <c r="O936" s="98"/>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row>
    <row r="937">
      <c r="A937" s="13"/>
      <c r="B937" s="84"/>
      <c r="C937" s="13"/>
      <c r="D937" s="13"/>
      <c r="E937" s="13"/>
      <c r="F937" s="13"/>
      <c r="G937" s="13"/>
      <c r="H937" s="13"/>
      <c r="I937" s="13"/>
      <c r="J937" s="13"/>
      <c r="K937" s="13"/>
      <c r="L937" s="13"/>
      <c r="M937" s="13"/>
      <c r="N937" s="98"/>
      <c r="O937" s="98"/>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row>
    <row r="938">
      <c r="A938" s="13"/>
      <c r="B938" s="84"/>
      <c r="C938" s="13"/>
      <c r="D938" s="13"/>
      <c r="E938" s="13"/>
      <c r="F938" s="13"/>
      <c r="G938" s="13"/>
      <c r="H938" s="13"/>
      <c r="I938" s="13"/>
      <c r="J938" s="13"/>
      <c r="K938" s="13"/>
      <c r="L938" s="13"/>
      <c r="M938" s="13"/>
      <c r="N938" s="98"/>
      <c r="O938" s="98"/>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row>
    <row r="939">
      <c r="A939" s="13"/>
      <c r="B939" s="84"/>
      <c r="C939" s="13"/>
      <c r="D939" s="13"/>
      <c r="E939" s="13"/>
      <c r="F939" s="13"/>
      <c r="G939" s="13"/>
      <c r="H939" s="13"/>
      <c r="I939" s="13"/>
      <c r="J939" s="13"/>
      <c r="K939" s="13"/>
      <c r="L939" s="13"/>
      <c r="M939" s="13"/>
      <c r="N939" s="98"/>
      <c r="O939" s="98"/>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row>
    <row r="940">
      <c r="A940" s="13"/>
      <c r="B940" s="84"/>
      <c r="C940" s="13"/>
      <c r="D940" s="13"/>
      <c r="E940" s="13"/>
      <c r="F940" s="13"/>
      <c r="G940" s="13"/>
      <c r="H940" s="13"/>
      <c r="I940" s="13"/>
      <c r="J940" s="13"/>
      <c r="K940" s="13"/>
      <c r="L940" s="13"/>
      <c r="M940" s="13"/>
      <c r="N940" s="98"/>
      <c r="O940" s="98"/>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row>
    <row r="941">
      <c r="A941" s="13"/>
      <c r="B941" s="84"/>
      <c r="C941" s="13"/>
      <c r="D941" s="13"/>
      <c r="E941" s="13"/>
      <c r="F941" s="13"/>
      <c r="G941" s="13"/>
      <c r="H941" s="13"/>
      <c r="I941" s="13"/>
      <c r="J941" s="13"/>
      <c r="K941" s="13"/>
      <c r="L941" s="13"/>
      <c r="M941" s="13"/>
      <c r="N941" s="98"/>
      <c r="O941" s="98"/>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row>
    <row r="942">
      <c r="A942" s="13"/>
      <c r="B942" s="84"/>
      <c r="C942" s="13"/>
      <c r="D942" s="13"/>
      <c r="E942" s="13"/>
      <c r="F942" s="13"/>
      <c r="G942" s="13"/>
      <c r="H942" s="13"/>
      <c r="I942" s="13"/>
      <c r="J942" s="13"/>
      <c r="K942" s="13"/>
      <c r="L942" s="13"/>
      <c r="M942" s="13"/>
      <c r="N942" s="98"/>
      <c r="O942" s="98"/>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row>
    <row r="943">
      <c r="A943" s="13"/>
      <c r="B943" s="84"/>
      <c r="C943" s="13"/>
      <c r="D943" s="13"/>
      <c r="E943" s="13"/>
      <c r="F943" s="13"/>
      <c r="G943" s="13"/>
      <c r="H943" s="13"/>
      <c r="I943" s="13"/>
      <c r="J943" s="13"/>
      <c r="K943" s="13"/>
      <c r="L943" s="13"/>
      <c r="M943" s="13"/>
      <c r="N943" s="98"/>
      <c r="O943" s="98"/>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row>
    <row r="944">
      <c r="A944" s="13"/>
      <c r="B944" s="84"/>
      <c r="C944" s="13"/>
      <c r="D944" s="13"/>
      <c r="E944" s="13"/>
      <c r="F944" s="13"/>
      <c r="G944" s="13"/>
      <c r="H944" s="13"/>
      <c r="I944" s="13"/>
      <c r="J944" s="13"/>
      <c r="K944" s="13"/>
      <c r="L944" s="13"/>
      <c r="M944" s="13"/>
      <c r="N944" s="98"/>
      <c r="O944" s="98"/>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row>
    <row r="945">
      <c r="A945" s="13"/>
      <c r="B945" s="84"/>
      <c r="C945" s="13"/>
      <c r="D945" s="13"/>
      <c r="E945" s="13"/>
      <c r="F945" s="13"/>
      <c r="G945" s="13"/>
      <c r="H945" s="13"/>
      <c r="I945" s="13"/>
      <c r="J945" s="13"/>
      <c r="K945" s="13"/>
      <c r="L945" s="13"/>
      <c r="M945" s="13"/>
      <c r="N945" s="98"/>
      <c r="O945" s="98"/>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row>
    <row r="946">
      <c r="A946" s="13"/>
      <c r="B946" s="84"/>
      <c r="C946" s="13"/>
      <c r="D946" s="13"/>
      <c r="E946" s="13"/>
      <c r="F946" s="13"/>
      <c r="G946" s="13"/>
      <c r="H946" s="13"/>
      <c r="I946" s="13"/>
      <c r="J946" s="13"/>
      <c r="K946" s="13"/>
      <c r="L946" s="13"/>
      <c r="M946" s="13"/>
      <c r="N946" s="98"/>
      <c r="O946" s="98"/>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row>
    <row r="947">
      <c r="A947" s="13"/>
      <c r="B947" s="84"/>
      <c r="C947" s="13"/>
      <c r="D947" s="13"/>
      <c r="E947" s="13"/>
      <c r="F947" s="13"/>
      <c r="G947" s="13"/>
      <c r="H947" s="13"/>
      <c r="I947" s="13"/>
      <c r="J947" s="13"/>
      <c r="K947" s="13"/>
      <c r="L947" s="13"/>
      <c r="M947" s="13"/>
      <c r="N947" s="98"/>
      <c r="O947" s="98"/>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row>
    <row r="948">
      <c r="A948" s="13"/>
      <c r="B948" s="84"/>
      <c r="C948" s="13"/>
      <c r="D948" s="13"/>
      <c r="E948" s="13"/>
      <c r="F948" s="13"/>
      <c r="G948" s="13"/>
      <c r="H948" s="13"/>
      <c r="I948" s="13"/>
      <c r="J948" s="13"/>
      <c r="K948" s="13"/>
      <c r="L948" s="13"/>
      <c r="M948" s="13"/>
      <c r="N948" s="98"/>
      <c r="O948" s="98"/>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row>
    <row r="949">
      <c r="A949" s="13"/>
      <c r="B949" s="84"/>
      <c r="C949" s="13"/>
      <c r="D949" s="13"/>
      <c r="E949" s="13"/>
      <c r="F949" s="13"/>
      <c r="G949" s="13"/>
      <c r="H949" s="13"/>
      <c r="I949" s="13"/>
      <c r="J949" s="13"/>
      <c r="K949" s="13"/>
      <c r="L949" s="13"/>
      <c r="M949" s="13"/>
      <c r="N949" s="98"/>
      <c r="O949" s="98"/>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row>
    <row r="950">
      <c r="A950" s="13"/>
      <c r="B950" s="84"/>
      <c r="C950" s="13"/>
      <c r="D950" s="13"/>
      <c r="E950" s="13"/>
      <c r="F950" s="13"/>
      <c r="G950" s="13"/>
      <c r="H950" s="13"/>
      <c r="I950" s="13"/>
      <c r="J950" s="13"/>
      <c r="K950" s="13"/>
      <c r="L950" s="13"/>
      <c r="M950" s="13"/>
      <c r="N950" s="98"/>
      <c r="O950" s="98"/>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row>
    <row r="951">
      <c r="A951" s="13"/>
      <c r="B951" s="84"/>
      <c r="C951" s="13"/>
      <c r="D951" s="13"/>
      <c r="E951" s="13"/>
      <c r="F951" s="13"/>
      <c r="G951" s="13"/>
      <c r="H951" s="13"/>
      <c r="I951" s="13"/>
      <c r="J951" s="13"/>
      <c r="K951" s="13"/>
      <c r="L951" s="13"/>
      <c r="M951" s="13"/>
      <c r="N951" s="98"/>
      <c r="O951" s="98"/>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row>
    <row r="952">
      <c r="A952" s="13"/>
      <c r="B952" s="84"/>
      <c r="C952" s="13"/>
      <c r="D952" s="13"/>
      <c r="E952" s="13"/>
      <c r="F952" s="13"/>
      <c r="G952" s="13"/>
      <c r="H952" s="13"/>
      <c r="I952" s="13"/>
      <c r="J952" s="13"/>
      <c r="K952" s="13"/>
      <c r="L952" s="13"/>
      <c r="M952" s="13"/>
      <c r="N952" s="98"/>
      <c r="O952" s="98"/>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row>
    <row r="953">
      <c r="A953" s="13"/>
      <c r="B953" s="84"/>
      <c r="C953" s="13"/>
      <c r="D953" s="13"/>
      <c r="E953" s="13"/>
      <c r="F953" s="13"/>
      <c r="G953" s="13"/>
      <c r="H953" s="13"/>
      <c r="I953" s="13"/>
      <c r="J953" s="13"/>
      <c r="K953" s="13"/>
      <c r="L953" s="13"/>
      <c r="M953" s="13"/>
      <c r="N953" s="98"/>
      <c r="O953" s="98"/>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row>
    <row r="954">
      <c r="A954" s="13"/>
      <c r="B954" s="84"/>
      <c r="C954" s="13"/>
      <c r="D954" s="13"/>
      <c r="E954" s="13"/>
      <c r="F954" s="13"/>
      <c r="G954" s="13"/>
      <c r="H954" s="13"/>
      <c r="I954" s="13"/>
      <c r="J954" s="13"/>
      <c r="K954" s="13"/>
      <c r="L954" s="13"/>
      <c r="M954" s="13"/>
      <c r="N954" s="98"/>
      <c r="O954" s="98"/>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row>
    <row r="955">
      <c r="A955" s="13"/>
      <c r="B955" s="84"/>
      <c r="C955" s="13"/>
      <c r="D955" s="13"/>
      <c r="E955" s="13"/>
      <c r="F955" s="13"/>
      <c r="G955" s="13"/>
      <c r="H955" s="13"/>
      <c r="I955" s="13"/>
      <c r="J955" s="13"/>
      <c r="K955" s="13"/>
      <c r="L955" s="13"/>
      <c r="M955" s="13"/>
      <c r="N955" s="98"/>
      <c r="O955" s="98"/>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row>
    <row r="956">
      <c r="A956" s="13"/>
      <c r="B956" s="84"/>
      <c r="C956" s="13"/>
      <c r="D956" s="13"/>
      <c r="E956" s="13"/>
      <c r="F956" s="13"/>
      <c r="G956" s="13"/>
      <c r="H956" s="13"/>
      <c r="I956" s="13"/>
      <c r="J956" s="13"/>
      <c r="K956" s="13"/>
      <c r="L956" s="13"/>
      <c r="M956" s="13"/>
      <c r="N956" s="98"/>
      <c r="O956" s="98"/>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row>
    <row r="957">
      <c r="A957" s="13"/>
      <c r="B957" s="84"/>
      <c r="C957" s="13"/>
      <c r="D957" s="13"/>
      <c r="E957" s="13"/>
      <c r="F957" s="13"/>
      <c r="G957" s="13"/>
      <c r="H957" s="13"/>
      <c r="I957" s="13"/>
      <c r="J957" s="13"/>
      <c r="K957" s="13"/>
      <c r="L957" s="13"/>
      <c r="M957" s="13"/>
      <c r="N957" s="98"/>
      <c r="O957" s="98"/>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row>
    <row r="958">
      <c r="A958" s="13"/>
      <c r="B958" s="84"/>
      <c r="C958" s="13"/>
      <c r="D958" s="13"/>
      <c r="E958" s="13"/>
      <c r="F958" s="13"/>
      <c r="G958" s="13"/>
      <c r="H958" s="13"/>
      <c r="I958" s="13"/>
      <c r="J958" s="13"/>
      <c r="K958" s="13"/>
      <c r="L958" s="13"/>
      <c r="M958" s="13"/>
      <c r="N958" s="98"/>
      <c r="O958" s="98"/>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row>
    <row r="959">
      <c r="A959" s="13"/>
      <c r="B959" s="84"/>
      <c r="C959" s="13"/>
      <c r="D959" s="13"/>
      <c r="E959" s="13"/>
      <c r="F959" s="13"/>
      <c r="G959" s="13"/>
      <c r="H959" s="13"/>
      <c r="I959" s="13"/>
      <c r="J959" s="13"/>
      <c r="K959" s="13"/>
      <c r="L959" s="13"/>
      <c r="M959" s="13"/>
      <c r="N959" s="98"/>
      <c r="O959" s="98"/>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row>
    <row r="960">
      <c r="A960" s="13"/>
      <c r="B960" s="84"/>
      <c r="C960" s="13"/>
      <c r="D960" s="13"/>
      <c r="E960" s="13"/>
      <c r="F960" s="13"/>
      <c r="G960" s="13"/>
      <c r="H960" s="13"/>
      <c r="I960" s="13"/>
      <c r="J960" s="13"/>
      <c r="K960" s="13"/>
      <c r="L960" s="13"/>
      <c r="M960" s="13"/>
      <c r="N960" s="98"/>
      <c r="O960" s="98"/>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row>
    <row r="961">
      <c r="A961" s="13"/>
      <c r="B961" s="84"/>
      <c r="C961" s="13"/>
      <c r="D961" s="13"/>
      <c r="E961" s="13"/>
      <c r="F961" s="13"/>
      <c r="G961" s="13"/>
      <c r="H961" s="13"/>
      <c r="I961" s="13"/>
      <c r="J961" s="13"/>
      <c r="K961" s="13"/>
      <c r="L961" s="13"/>
      <c r="M961" s="13"/>
      <c r="N961" s="98"/>
      <c r="O961" s="98"/>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row>
    <row r="962">
      <c r="A962" s="13"/>
      <c r="B962" s="84"/>
      <c r="C962" s="13"/>
      <c r="D962" s="13"/>
      <c r="E962" s="13"/>
      <c r="F962" s="13"/>
      <c r="G962" s="13"/>
      <c r="H962" s="13"/>
      <c r="I962" s="13"/>
      <c r="J962" s="13"/>
      <c r="K962" s="13"/>
      <c r="L962" s="13"/>
      <c r="M962" s="13"/>
      <c r="N962" s="98"/>
      <c r="O962" s="98"/>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row>
    <row r="963">
      <c r="A963" s="13"/>
      <c r="B963" s="84"/>
      <c r="C963" s="13"/>
      <c r="D963" s="13"/>
      <c r="E963" s="13"/>
      <c r="F963" s="13"/>
      <c r="G963" s="13"/>
      <c r="H963" s="13"/>
      <c r="I963" s="13"/>
      <c r="J963" s="13"/>
      <c r="K963" s="13"/>
      <c r="L963" s="13"/>
      <c r="M963" s="13"/>
      <c r="N963" s="98"/>
      <c r="O963" s="98"/>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row>
    <row r="964">
      <c r="A964" s="13"/>
      <c r="B964" s="84"/>
      <c r="C964" s="13"/>
      <c r="D964" s="13"/>
      <c r="E964" s="13"/>
      <c r="F964" s="13"/>
      <c r="G964" s="13"/>
      <c r="H964" s="13"/>
      <c r="I964" s="13"/>
      <c r="J964" s="13"/>
      <c r="K964" s="13"/>
      <c r="L964" s="13"/>
      <c r="M964" s="13"/>
      <c r="N964" s="98"/>
      <c r="O964" s="98"/>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row>
    <row r="965">
      <c r="A965" s="13"/>
      <c r="B965" s="84"/>
      <c r="C965" s="13"/>
      <c r="D965" s="13"/>
      <c r="E965" s="13"/>
      <c r="F965" s="13"/>
      <c r="G965" s="13"/>
      <c r="H965" s="13"/>
      <c r="I965" s="13"/>
      <c r="J965" s="13"/>
      <c r="K965" s="13"/>
      <c r="L965" s="13"/>
      <c r="M965" s="13"/>
      <c r="N965" s="98"/>
      <c r="O965" s="98"/>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row>
    <row r="966">
      <c r="A966" s="13"/>
      <c r="B966" s="84"/>
      <c r="C966" s="13"/>
      <c r="D966" s="13"/>
      <c r="E966" s="13"/>
      <c r="F966" s="13"/>
      <c r="G966" s="13"/>
      <c r="H966" s="13"/>
      <c r="I966" s="13"/>
      <c r="J966" s="13"/>
      <c r="K966" s="13"/>
      <c r="L966" s="13"/>
      <c r="M966" s="13"/>
      <c r="N966" s="98"/>
      <c r="O966" s="98"/>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row>
    <row r="967">
      <c r="A967" s="13"/>
      <c r="B967" s="84"/>
      <c r="C967" s="13"/>
      <c r="D967" s="13"/>
      <c r="E967" s="13"/>
      <c r="F967" s="13"/>
      <c r="G967" s="13"/>
      <c r="H967" s="13"/>
      <c r="I967" s="13"/>
      <c r="J967" s="13"/>
      <c r="K967" s="13"/>
      <c r="L967" s="13"/>
      <c r="M967" s="13"/>
      <c r="N967" s="98"/>
      <c r="O967" s="98"/>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row>
    <row r="968">
      <c r="A968" s="13"/>
      <c r="B968" s="84"/>
      <c r="C968" s="13"/>
      <c r="D968" s="13"/>
      <c r="E968" s="13"/>
      <c r="F968" s="13"/>
      <c r="G968" s="13"/>
      <c r="H968" s="13"/>
      <c r="I968" s="13"/>
      <c r="J968" s="13"/>
      <c r="K968" s="13"/>
      <c r="L968" s="13"/>
      <c r="M968" s="13"/>
      <c r="N968" s="98"/>
      <c r="O968" s="98"/>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row>
    <row r="969">
      <c r="A969" s="13"/>
      <c r="B969" s="84"/>
      <c r="C969" s="13"/>
      <c r="D969" s="13"/>
      <c r="E969" s="13"/>
      <c r="F969" s="13"/>
      <c r="G969" s="13"/>
      <c r="H969" s="13"/>
      <c r="I969" s="13"/>
      <c r="J969" s="13"/>
      <c r="K969" s="13"/>
      <c r="L969" s="13"/>
      <c r="M969" s="13"/>
      <c r="N969" s="98"/>
      <c r="O969" s="98"/>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row>
    <row r="970">
      <c r="A970" s="13"/>
      <c r="B970" s="84"/>
      <c r="C970" s="13"/>
      <c r="D970" s="13"/>
      <c r="E970" s="13"/>
      <c r="F970" s="13"/>
      <c r="G970" s="13"/>
      <c r="H970" s="13"/>
      <c r="I970" s="13"/>
      <c r="J970" s="13"/>
      <c r="K970" s="13"/>
      <c r="L970" s="13"/>
      <c r="M970" s="13"/>
      <c r="N970" s="98"/>
      <c r="O970" s="98"/>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row>
    <row r="971">
      <c r="A971" s="13"/>
      <c r="B971" s="84"/>
      <c r="C971" s="13"/>
      <c r="D971" s="13"/>
      <c r="E971" s="13"/>
      <c r="F971" s="13"/>
      <c r="G971" s="13"/>
      <c r="H971" s="13"/>
      <c r="I971" s="13"/>
      <c r="J971" s="13"/>
      <c r="K971" s="13"/>
      <c r="L971" s="13"/>
      <c r="M971" s="13"/>
      <c r="N971" s="98"/>
      <c r="O971" s="98"/>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row>
    <row r="972">
      <c r="A972" s="13"/>
      <c r="B972" s="84"/>
      <c r="C972" s="13"/>
      <c r="D972" s="13"/>
      <c r="E972" s="13"/>
      <c r="F972" s="13"/>
      <c r="G972" s="13"/>
      <c r="H972" s="13"/>
      <c r="I972" s="13"/>
      <c r="J972" s="13"/>
      <c r="K972" s="13"/>
      <c r="L972" s="13"/>
      <c r="M972" s="13"/>
      <c r="N972" s="98"/>
      <c r="O972" s="98"/>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row>
    <row r="973">
      <c r="A973" s="13"/>
      <c r="B973" s="84"/>
      <c r="C973" s="13"/>
      <c r="D973" s="13"/>
      <c r="E973" s="13"/>
      <c r="F973" s="13"/>
      <c r="G973" s="13"/>
      <c r="H973" s="13"/>
      <c r="I973" s="13"/>
      <c r="J973" s="13"/>
      <c r="K973" s="13"/>
      <c r="L973" s="13"/>
      <c r="M973" s="13"/>
      <c r="N973" s="98"/>
      <c r="O973" s="98"/>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row>
    <row r="974">
      <c r="A974" s="13"/>
      <c r="B974" s="84"/>
      <c r="C974" s="13"/>
      <c r="D974" s="13"/>
      <c r="E974" s="13"/>
      <c r="F974" s="13"/>
      <c r="G974" s="13"/>
      <c r="H974" s="13"/>
      <c r="I974" s="13"/>
      <c r="J974" s="13"/>
      <c r="K974" s="13"/>
      <c r="L974" s="13"/>
      <c r="M974" s="13"/>
      <c r="N974" s="98"/>
      <c r="O974" s="98"/>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row>
    <row r="975">
      <c r="A975" s="13"/>
      <c r="B975" s="84"/>
      <c r="C975" s="13"/>
      <c r="D975" s="13"/>
      <c r="E975" s="13"/>
      <c r="F975" s="13"/>
      <c r="G975" s="13"/>
      <c r="H975" s="13"/>
      <c r="I975" s="13"/>
      <c r="J975" s="13"/>
      <c r="K975" s="13"/>
      <c r="L975" s="13"/>
      <c r="M975" s="13"/>
      <c r="N975" s="98"/>
      <c r="O975" s="98"/>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row>
    <row r="976">
      <c r="A976" s="13"/>
      <c r="B976" s="84"/>
      <c r="C976" s="13"/>
      <c r="D976" s="13"/>
      <c r="E976" s="13"/>
      <c r="F976" s="13"/>
      <c r="G976" s="13"/>
      <c r="H976" s="13"/>
      <c r="I976" s="13"/>
      <c r="J976" s="13"/>
      <c r="K976" s="13"/>
      <c r="L976" s="13"/>
      <c r="M976" s="13"/>
      <c r="N976" s="98"/>
      <c r="O976" s="98"/>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row>
    <row r="977">
      <c r="A977" s="13"/>
      <c r="B977" s="84"/>
      <c r="C977" s="13"/>
      <c r="D977" s="13"/>
      <c r="E977" s="13"/>
      <c r="F977" s="13"/>
      <c r="G977" s="13"/>
      <c r="H977" s="13"/>
      <c r="I977" s="13"/>
      <c r="J977" s="13"/>
      <c r="K977" s="13"/>
      <c r="L977" s="13"/>
      <c r="M977" s="13"/>
      <c r="N977" s="98"/>
      <c r="O977" s="98"/>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row>
    <row r="978">
      <c r="A978" s="13"/>
      <c r="B978" s="84"/>
      <c r="C978" s="13"/>
      <c r="D978" s="13"/>
      <c r="E978" s="13"/>
      <c r="F978" s="13"/>
      <c r="G978" s="13"/>
      <c r="H978" s="13"/>
      <c r="I978" s="13"/>
      <c r="J978" s="13"/>
      <c r="K978" s="13"/>
      <c r="L978" s="13"/>
      <c r="M978" s="13"/>
      <c r="N978" s="98"/>
      <c r="O978" s="98"/>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row>
    <row r="979">
      <c r="A979" s="13"/>
      <c r="B979" s="84"/>
      <c r="C979" s="13"/>
      <c r="D979" s="13"/>
      <c r="E979" s="13"/>
      <c r="F979" s="13"/>
      <c r="G979" s="13"/>
      <c r="H979" s="13"/>
      <c r="I979" s="13"/>
      <c r="J979" s="13"/>
      <c r="K979" s="13"/>
      <c r="L979" s="13"/>
      <c r="M979" s="13"/>
      <c r="N979" s="98"/>
      <c r="O979" s="98"/>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row>
    <row r="980">
      <c r="A980" s="13"/>
      <c r="B980" s="84"/>
      <c r="C980" s="13"/>
      <c r="D980" s="13"/>
      <c r="E980" s="13"/>
      <c r="F980" s="13"/>
      <c r="G980" s="13"/>
      <c r="H980" s="13"/>
      <c r="I980" s="13"/>
      <c r="J980" s="13"/>
      <c r="K980" s="13"/>
      <c r="L980" s="13"/>
      <c r="M980" s="13"/>
      <c r="N980" s="98"/>
      <c r="O980" s="98"/>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row>
    <row r="981">
      <c r="A981" s="13"/>
      <c r="B981" s="84"/>
      <c r="C981" s="13"/>
      <c r="D981" s="13"/>
      <c r="E981" s="13"/>
      <c r="F981" s="13"/>
      <c r="G981" s="13"/>
      <c r="H981" s="13"/>
      <c r="I981" s="13"/>
      <c r="J981" s="13"/>
      <c r="K981" s="13"/>
      <c r="L981" s="13"/>
      <c r="M981" s="13"/>
      <c r="N981" s="98"/>
      <c r="O981" s="98"/>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row>
    <row r="982">
      <c r="A982" s="13"/>
      <c r="B982" s="84"/>
      <c r="C982" s="13"/>
      <c r="D982" s="13"/>
      <c r="E982" s="13"/>
      <c r="F982" s="13"/>
      <c r="G982" s="13"/>
      <c r="H982" s="13"/>
      <c r="I982" s="13"/>
      <c r="J982" s="13"/>
      <c r="K982" s="13"/>
      <c r="L982" s="13"/>
      <c r="M982" s="13"/>
      <c r="N982" s="98"/>
      <c r="O982" s="98"/>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row>
    <row r="983">
      <c r="A983" s="13"/>
      <c r="B983" s="84"/>
      <c r="C983" s="13"/>
      <c r="D983" s="13"/>
      <c r="E983" s="13"/>
      <c r="F983" s="13"/>
      <c r="G983" s="13"/>
      <c r="H983" s="13"/>
      <c r="I983" s="13"/>
      <c r="J983" s="13"/>
      <c r="K983" s="13"/>
      <c r="L983" s="13"/>
      <c r="M983" s="13"/>
      <c r="N983" s="98"/>
      <c r="O983" s="98"/>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row>
    <row r="984">
      <c r="A984" s="13"/>
      <c r="B984" s="84"/>
      <c r="C984" s="13"/>
      <c r="D984" s="13"/>
      <c r="E984" s="13"/>
      <c r="F984" s="13"/>
      <c r="G984" s="13"/>
      <c r="H984" s="13"/>
      <c r="I984" s="13"/>
      <c r="J984" s="13"/>
      <c r="K984" s="13"/>
      <c r="L984" s="13"/>
      <c r="M984" s="13"/>
      <c r="N984" s="98"/>
      <c r="O984" s="98"/>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row>
    <row r="985">
      <c r="A985" s="13"/>
      <c r="B985" s="84"/>
      <c r="C985" s="13"/>
      <c r="D985" s="13"/>
      <c r="E985" s="13"/>
      <c r="F985" s="13"/>
      <c r="G985" s="13"/>
      <c r="H985" s="13"/>
      <c r="I985" s="13"/>
      <c r="J985" s="13"/>
      <c r="K985" s="13"/>
      <c r="L985" s="13"/>
      <c r="M985" s="13"/>
      <c r="N985" s="98"/>
      <c r="O985" s="98"/>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row>
    <row r="986">
      <c r="A986" s="13"/>
      <c r="B986" s="84"/>
      <c r="C986" s="13"/>
      <c r="D986" s="13"/>
      <c r="E986" s="13"/>
      <c r="F986" s="13"/>
      <c r="G986" s="13"/>
      <c r="H986" s="13"/>
      <c r="I986" s="13"/>
      <c r="J986" s="13"/>
      <c r="K986" s="13"/>
      <c r="L986" s="13"/>
      <c r="M986" s="13"/>
      <c r="N986" s="98"/>
      <c r="O986" s="98"/>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row>
    <row r="987">
      <c r="A987" s="13"/>
      <c r="B987" s="84"/>
      <c r="C987" s="13"/>
      <c r="D987" s="13"/>
      <c r="E987" s="13"/>
      <c r="F987" s="13"/>
      <c r="G987" s="13"/>
      <c r="H987" s="13"/>
      <c r="I987" s="13"/>
      <c r="J987" s="13"/>
      <c r="K987" s="13"/>
      <c r="L987" s="13"/>
      <c r="M987" s="13"/>
      <c r="N987" s="98"/>
      <c r="O987" s="98"/>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row>
    <row r="988">
      <c r="A988" s="13"/>
      <c r="B988" s="84"/>
      <c r="C988" s="13"/>
      <c r="D988" s="13"/>
      <c r="E988" s="13"/>
      <c r="F988" s="13"/>
      <c r="G988" s="13"/>
      <c r="H988" s="13"/>
      <c r="I988" s="13"/>
      <c r="J988" s="13"/>
      <c r="K988" s="13"/>
      <c r="L988" s="13"/>
      <c r="M988" s="13"/>
      <c r="N988" s="98"/>
      <c r="O988" s="98"/>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row>
    <row r="989">
      <c r="A989" s="13"/>
      <c r="B989" s="84"/>
      <c r="C989" s="13"/>
      <c r="D989" s="13"/>
      <c r="E989" s="13"/>
      <c r="F989" s="13"/>
      <c r="G989" s="13"/>
      <c r="H989" s="13"/>
      <c r="I989" s="13"/>
      <c r="J989" s="13"/>
      <c r="K989" s="13"/>
      <c r="L989" s="13"/>
      <c r="M989" s="13"/>
      <c r="N989" s="98"/>
      <c r="O989" s="98"/>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row>
    <row r="990">
      <c r="A990" s="13"/>
      <c r="B990" s="84"/>
      <c r="C990" s="13"/>
      <c r="D990" s="13"/>
      <c r="E990" s="13"/>
      <c r="F990" s="13"/>
      <c r="G990" s="13"/>
      <c r="H990" s="13"/>
      <c r="I990" s="13"/>
      <c r="J990" s="13"/>
      <c r="K990" s="13"/>
      <c r="L990" s="13"/>
      <c r="M990" s="13"/>
      <c r="N990" s="98"/>
      <c r="O990" s="98"/>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row>
    <row r="991">
      <c r="A991" s="13"/>
      <c r="B991" s="84"/>
      <c r="C991" s="13"/>
      <c r="D991" s="13"/>
      <c r="E991" s="13"/>
      <c r="F991" s="13"/>
      <c r="G991" s="13"/>
      <c r="H991" s="13"/>
      <c r="I991" s="13"/>
      <c r="J991" s="13"/>
      <c r="K991" s="13"/>
      <c r="L991" s="13"/>
      <c r="M991" s="13"/>
      <c r="N991" s="98"/>
      <c r="O991" s="98"/>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row>
    <row r="992">
      <c r="A992" s="13"/>
      <c r="B992" s="84"/>
      <c r="C992" s="13"/>
      <c r="D992" s="13"/>
      <c r="E992" s="13"/>
      <c r="F992" s="13"/>
      <c r="G992" s="13"/>
      <c r="H992" s="13"/>
      <c r="I992" s="13"/>
      <c r="J992" s="13"/>
      <c r="K992" s="13"/>
      <c r="L992" s="13"/>
      <c r="M992" s="13"/>
      <c r="N992" s="98"/>
      <c r="O992" s="98"/>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row>
    <row r="993">
      <c r="A993" s="13"/>
      <c r="B993" s="84"/>
      <c r="C993" s="13"/>
      <c r="D993" s="13"/>
      <c r="E993" s="13"/>
      <c r="F993" s="13"/>
      <c r="G993" s="13"/>
      <c r="H993" s="13"/>
      <c r="I993" s="13"/>
      <c r="J993" s="13"/>
      <c r="K993" s="13"/>
      <c r="L993" s="13"/>
      <c r="M993" s="13"/>
      <c r="N993" s="98"/>
      <c r="O993" s="98"/>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row>
    <row r="994">
      <c r="A994" s="13"/>
      <c r="B994" s="84"/>
      <c r="C994" s="13"/>
      <c r="D994" s="13"/>
      <c r="E994" s="13"/>
      <c r="F994" s="13"/>
      <c r="G994" s="13"/>
      <c r="H994" s="13"/>
      <c r="I994" s="13"/>
      <c r="J994" s="13"/>
      <c r="K994" s="13"/>
      <c r="L994" s="13"/>
      <c r="M994" s="13"/>
      <c r="N994" s="98"/>
      <c r="O994" s="98"/>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row>
    <row r="995">
      <c r="A995" s="13"/>
      <c r="B995" s="84"/>
      <c r="C995" s="13"/>
      <c r="D995" s="13"/>
      <c r="E995" s="13"/>
      <c r="F995" s="13"/>
      <c r="G995" s="13"/>
      <c r="H995" s="13"/>
      <c r="I995" s="13"/>
      <c r="J995" s="13"/>
      <c r="K995" s="13"/>
      <c r="L995" s="13"/>
      <c r="M995" s="13"/>
      <c r="N995" s="98"/>
      <c r="O995" s="98"/>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row>
    <row r="996">
      <c r="A996" s="13"/>
      <c r="B996" s="84"/>
      <c r="C996" s="13"/>
      <c r="D996" s="13"/>
      <c r="E996" s="13"/>
      <c r="F996" s="13"/>
      <c r="G996" s="13"/>
      <c r="H996" s="13"/>
      <c r="I996" s="13"/>
      <c r="J996" s="13"/>
      <c r="K996" s="13"/>
      <c r="L996" s="13"/>
      <c r="M996" s="13"/>
      <c r="N996" s="98"/>
      <c r="O996" s="98"/>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row>
    <row r="997">
      <c r="A997" s="13"/>
      <c r="B997" s="84"/>
      <c r="C997" s="13"/>
      <c r="D997" s="13"/>
      <c r="E997" s="13"/>
      <c r="F997" s="13"/>
      <c r="G997" s="13"/>
      <c r="H997" s="13"/>
      <c r="I997" s="13"/>
      <c r="J997" s="13"/>
      <c r="K997" s="13"/>
      <c r="L997" s="13"/>
      <c r="M997" s="13"/>
      <c r="N997" s="98"/>
      <c r="O997" s="98"/>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row>
    <row r="998">
      <c r="A998" s="13"/>
      <c r="B998" s="84"/>
      <c r="C998" s="13"/>
      <c r="D998" s="13"/>
      <c r="E998" s="13"/>
      <c r="F998" s="13"/>
      <c r="G998" s="13"/>
      <c r="H998" s="13"/>
      <c r="I998" s="13"/>
      <c r="J998" s="13"/>
      <c r="K998" s="13"/>
      <c r="L998" s="13"/>
      <c r="M998" s="13"/>
      <c r="N998" s="98"/>
      <c r="O998" s="98"/>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row>
    <row r="999">
      <c r="A999" s="13"/>
      <c r="B999" s="84"/>
      <c r="C999" s="13"/>
      <c r="D999" s="13"/>
      <c r="E999" s="13"/>
      <c r="F999" s="13"/>
      <c r="G999" s="13"/>
      <c r="H999" s="13"/>
      <c r="I999" s="13"/>
      <c r="J999" s="13"/>
      <c r="K999" s="13"/>
      <c r="L999" s="13"/>
      <c r="M999" s="13"/>
      <c r="N999" s="98"/>
      <c r="O999" s="98"/>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row>
    <row r="1000">
      <c r="A1000" s="13"/>
      <c r="B1000" s="84"/>
      <c r="C1000" s="13"/>
      <c r="D1000" s="13"/>
      <c r="E1000" s="13"/>
      <c r="F1000" s="13"/>
      <c r="G1000" s="13"/>
      <c r="H1000" s="13"/>
      <c r="I1000" s="13"/>
      <c r="J1000" s="13"/>
      <c r="K1000" s="13"/>
      <c r="L1000" s="13"/>
      <c r="M1000" s="13"/>
      <c r="N1000" s="98"/>
      <c r="O1000" s="98"/>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1" t="s">
        <v>461</v>
      </c>
      <c r="D1" s="101" t="s">
        <v>462</v>
      </c>
      <c r="G1" s="101" t="s">
        <v>463</v>
      </c>
      <c r="J1" s="101" t="s">
        <v>464</v>
      </c>
      <c r="M1" s="102"/>
      <c r="N1" s="103" t="s">
        <v>465</v>
      </c>
      <c r="O1" s="104" t="s">
        <v>466</v>
      </c>
    </row>
    <row r="2">
      <c r="A2" s="105" t="s">
        <v>276</v>
      </c>
      <c r="B2" s="105" t="s">
        <v>2</v>
      </c>
      <c r="C2" s="105" t="s">
        <v>467</v>
      </c>
      <c r="D2" s="105" t="s">
        <v>468</v>
      </c>
      <c r="E2" s="105" t="s">
        <v>469</v>
      </c>
      <c r="F2" s="105" t="s">
        <v>470</v>
      </c>
      <c r="G2" s="105" t="s">
        <v>468</v>
      </c>
      <c r="H2" s="105" t="s">
        <v>469</v>
      </c>
      <c r="I2" s="105" t="s">
        <v>470</v>
      </c>
      <c r="J2" s="105" t="s">
        <v>468</v>
      </c>
      <c r="K2" s="105" t="s">
        <v>469</v>
      </c>
      <c r="L2" s="105" t="s">
        <v>470</v>
      </c>
      <c r="M2" s="102"/>
      <c r="N2" s="106" t="s">
        <v>332</v>
      </c>
      <c r="O2" s="107">
        <f t="shared" ref="O2:O125" si="1">22*VLOOKUP(N2,$C$4:$J$137,2,FALSE) + 4*VLOOKUP(N2,$C$4:$J$137,5,FALSE) + 5*VLOOKUP(N2,$C$4:$J$137,8,FALSE)</f>
        <v>138962</v>
      </c>
    </row>
    <row r="3">
      <c r="A3" s="101">
        <v>801.0</v>
      </c>
      <c r="B3" s="108" t="s">
        <v>29</v>
      </c>
      <c r="C3" s="109"/>
      <c r="D3" s="110">
        <v>64402.0</v>
      </c>
      <c r="E3" s="110">
        <v>64808.0</v>
      </c>
      <c r="F3" s="111">
        <v>129210.0</v>
      </c>
      <c r="G3" s="110">
        <v>53747.0</v>
      </c>
      <c r="H3" s="110">
        <v>54347.0</v>
      </c>
      <c r="I3" s="111">
        <v>108094.0</v>
      </c>
      <c r="J3" s="110">
        <v>40635.0</v>
      </c>
      <c r="K3" s="110">
        <v>40945.0</v>
      </c>
      <c r="L3" s="111">
        <v>81580.0</v>
      </c>
      <c r="M3" s="102"/>
      <c r="N3" s="106" t="s">
        <v>333</v>
      </c>
      <c r="O3" s="107">
        <f t="shared" si="1"/>
        <v>38950</v>
      </c>
    </row>
    <row r="4">
      <c r="B4" s="101">
        <v>801.0</v>
      </c>
      <c r="C4" s="112" t="s">
        <v>29</v>
      </c>
      <c r="D4" s="110">
        <v>64402.0</v>
      </c>
      <c r="E4" s="110">
        <v>64808.0</v>
      </c>
      <c r="F4" s="111">
        <v>129210.0</v>
      </c>
      <c r="G4" s="110">
        <v>53747.0</v>
      </c>
      <c r="H4" s="110">
        <v>54347.0</v>
      </c>
      <c r="I4" s="111">
        <v>108094.0</v>
      </c>
      <c r="J4" s="110">
        <v>40635.0</v>
      </c>
      <c r="K4" s="110">
        <v>40945.0</v>
      </c>
      <c r="L4" s="111">
        <v>81580.0</v>
      </c>
      <c r="M4" s="102"/>
      <c r="N4" s="106" t="s">
        <v>334</v>
      </c>
      <c r="O4" s="107">
        <f t="shared" si="1"/>
        <v>25463</v>
      </c>
    </row>
    <row r="5">
      <c r="C5" s="113" t="s">
        <v>361</v>
      </c>
      <c r="D5" s="114">
        <v>2626.0</v>
      </c>
      <c r="E5" s="114">
        <v>2077.0</v>
      </c>
      <c r="F5" s="107">
        <v>4703.0</v>
      </c>
      <c r="G5" s="114">
        <v>2529.0</v>
      </c>
      <c r="H5" s="114">
        <v>1809.0</v>
      </c>
      <c r="I5" s="107">
        <v>4338.0</v>
      </c>
      <c r="J5" s="114">
        <v>2356.0</v>
      </c>
      <c r="K5" s="114">
        <v>1848.0</v>
      </c>
      <c r="L5" s="107">
        <v>4204.0</v>
      </c>
      <c r="M5" s="102"/>
      <c r="N5" s="106" t="s">
        <v>335</v>
      </c>
      <c r="O5" s="107">
        <f t="shared" si="1"/>
        <v>37930</v>
      </c>
    </row>
    <row r="6">
      <c r="C6" s="113" t="s">
        <v>362</v>
      </c>
      <c r="D6" s="107">
        <v>742.0</v>
      </c>
      <c r="E6" s="107">
        <v>138.0</v>
      </c>
      <c r="F6" s="107">
        <v>880.0</v>
      </c>
      <c r="G6" s="107">
        <v>716.0</v>
      </c>
      <c r="H6" s="107">
        <v>132.0</v>
      </c>
      <c r="I6" s="107">
        <v>848.0</v>
      </c>
      <c r="J6" s="107">
        <v>554.0</v>
      </c>
      <c r="K6" s="107">
        <v>95.0</v>
      </c>
      <c r="L6" s="107">
        <v>649.0</v>
      </c>
      <c r="M6" s="102"/>
      <c r="N6" s="106" t="s">
        <v>336</v>
      </c>
      <c r="O6" s="107">
        <f t="shared" si="1"/>
        <v>44701</v>
      </c>
    </row>
    <row r="7">
      <c r="C7" s="113" t="s">
        <v>363</v>
      </c>
      <c r="D7" s="107">
        <v>232.0</v>
      </c>
      <c r="E7" s="107">
        <v>664.0</v>
      </c>
      <c r="F7" s="107">
        <v>896.0</v>
      </c>
      <c r="G7" s="107">
        <v>275.0</v>
      </c>
      <c r="H7" s="107">
        <v>693.0</v>
      </c>
      <c r="I7" s="107">
        <v>968.0</v>
      </c>
      <c r="J7" s="107">
        <v>189.0</v>
      </c>
      <c r="K7" s="107">
        <v>482.0</v>
      </c>
      <c r="L7" s="107">
        <v>671.0</v>
      </c>
      <c r="M7" s="102"/>
      <c r="N7" s="106" t="s">
        <v>337</v>
      </c>
      <c r="O7" s="107">
        <f t="shared" si="1"/>
        <v>29833</v>
      </c>
    </row>
    <row r="8">
      <c r="C8" s="113" t="s">
        <v>364</v>
      </c>
      <c r="D8" s="107">
        <v>304.0</v>
      </c>
      <c r="E8" s="107">
        <v>902.0</v>
      </c>
      <c r="F8" s="107">
        <v>1206.0</v>
      </c>
      <c r="G8" s="107">
        <v>392.0</v>
      </c>
      <c r="H8" s="107">
        <v>908.0</v>
      </c>
      <c r="I8" s="107">
        <v>1300.0</v>
      </c>
      <c r="J8" s="107">
        <v>242.0</v>
      </c>
      <c r="K8" s="107">
        <v>645.0</v>
      </c>
      <c r="L8" s="107">
        <v>887.0</v>
      </c>
      <c r="M8" s="102"/>
      <c r="N8" s="106" t="s">
        <v>338</v>
      </c>
      <c r="O8" s="107">
        <f t="shared" si="1"/>
        <v>25206</v>
      </c>
    </row>
    <row r="9">
      <c r="C9" s="113" t="s">
        <v>365</v>
      </c>
      <c r="D9" s="114">
        <v>1688.0</v>
      </c>
      <c r="E9" s="114">
        <v>1445.0</v>
      </c>
      <c r="F9" s="107">
        <v>3133.0</v>
      </c>
      <c r="G9" s="114">
        <v>1494.0</v>
      </c>
      <c r="H9" s="114">
        <v>1299.0</v>
      </c>
      <c r="I9" s="107">
        <v>2793.0</v>
      </c>
      <c r="J9" s="114">
        <v>1174.0</v>
      </c>
      <c r="K9" s="114">
        <v>1067.0</v>
      </c>
      <c r="L9" s="107">
        <v>2241.0</v>
      </c>
      <c r="M9" s="102"/>
      <c r="N9" s="106" t="s">
        <v>339</v>
      </c>
      <c r="O9" s="107">
        <f t="shared" si="1"/>
        <v>53653</v>
      </c>
    </row>
    <row r="10">
      <c r="C10" s="113" t="s">
        <v>366</v>
      </c>
      <c r="D10" s="114">
        <v>1498.0</v>
      </c>
      <c r="E10" s="114">
        <v>1486.0</v>
      </c>
      <c r="F10" s="107">
        <v>2984.0</v>
      </c>
      <c r="G10" s="114">
        <v>1226.0</v>
      </c>
      <c r="H10" s="114">
        <v>1254.0</v>
      </c>
      <c r="I10" s="107">
        <v>2480.0</v>
      </c>
      <c r="J10" s="107">
        <v>984.0</v>
      </c>
      <c r="K10" s="107">
        <v>949.0</v>
      </c>
      <c r="L10" s="107">
        <v>1933.0</v>
      </c>
      <c r="M10" s="102"/>
      <c r="N10" s="106" t="s">
        <v>340</v>
      </c>
      <c r="O10" s="107">
        <f t="shared" si="1"/>
        <v>40355</v>
      </c>
    </row>
    <row r="11">
      <c r="C11" s="113" t="s">
        <v>367</v>
      </c>
      <c r="D11" s="114">
        <v>1329.0</v>
      </c>
      <c r="E11" s="114">
        <v>1326.0</v>
      </c>
      <c r="F11" s="107">
        <v>2655.0</v>
      </c>
      <c r="G11" s="114">
        <v>1046.0</v>
      </c>
      <c r="H11" s="107">
        <v>989.0</v>
      </c>
      <c r="I11" s="107">
        <v>2035.0</v>
      </c>
      <c r="J11" s="107">
        <v>836.0</v>
      </c>
      <c r="K11" s="107">
        <v>808.0</v>
      </c>
      <c r="L11" s="107">
        <v>1644.0</v>
      </c>
      <c r="M11" s="102"/>
      <c r="N11" s="106" t="s">
        <v>341</v>
      </c>
      <c r="O11" s="107">
        <f t="shared" si="1"/>
        <v>40963</v>
      </c>
    </row>
    <row r="12">
      <c r="C12" s="113" t="s">
        <v>368</v>
      </c>
      <c r="D12" s="107">
        <v>724.0</v>
      </c>
      <c r="E12" s="107">
        <v>708.0</v>
      </c>
      <c r="F12" s="107">
        <v>1432.0</v>
      </c>
      <c r="G12" s="107">
        <v>559.0</v>
      </c>
      <c r="H12" s="107">
        <v>507.0</v>
      </c>
      <c r="I12" s="107">
        <v>1066.0</v>
      </c>
      <c r="J12" s="107">
        <v>418.0</v>
      </c>
      <c r="K12" s="107">
        <v>415.0</v>
      </c>
      <c r="L12" s="107">
        <v>833.0</v>
      </c>
      <c r="M12" s="102"/>
      <c r="N12" s="106" t="s">
        <v>342</v>
      </c>
      <c r="O12" s="107">
        <f t="shared" si="1"/>
        <v>22616</v>
      </c>
    </row>
    <row r="13">
      <c r="C13" s="113" t="s">
        <v>369</v>
      </c>
      <c r="D13" s="114">
        <v>1299.0</v>
      </c>
      <c r="E13" s="114">
        <v>1284.0</v>
      </c>
      <c r="F13" s="107">
        <v>2583.0</v>
      </c>
      <c r="G13" s="107">
        <v>861.0</v>
      </c>
      <c r="H13" s="107">
        <v>863.0</v>
      </c>
      <c r="I13" s="107">
        <v>1724.0</v>
      </c>
      <c r="J13" s="107">
        <v>613.0</v>
      </c>
      <c r="K13" s="107">
        <v>648.0</v>
      </c>
      <c r="L13" s="107">
        <v>1261.0</v>
      </c>
      <c r="M13" s="102"/>
      <c r="N13" s="106" t="s">
        <v>343</v>
      </c>
      <c r="O13" s="107">
        <f t="shared" si="1"/>
        <v>78179</v>
      </c>
    </row>
    <row r="14">
      <c r="C14" s="113" t="s">
        <v>370</v>
      </c>
      <c r="D14" s="114">
        <v>1532.0</v>
      </c>
      <c r="E14" s="114">
        <v>1487.0</v>
      </c>
      <c r="F14" s="107">
        <v>3019.0</v>
      </c>
      <c r="G14" s="114">
        <v>1031.0</v>
      </c>
      <c r="H14" s="114">
        <v>1012.0</v>
      </c>
      <c r="I14" s="107">
        <v>2043.0</v>
      </c>
      <c r="J14" s="107">
        <v>784.0</v>
      </c>
      <c r="K14" s="107">
        <v>828.0</v>
      </c>
      <c r="L14" s="107">
        <v>1612.0</v>
      </c>
      <c r="M14" s="102"/>
      <c r="N14" s="106" t="s">
        <v>344</v>
      </c>
      <c r="O14" s="107">
        <f t="shared" si="1"/>
        <v>72958</v>
      </c>
    </row>
    <row r="15">
      <c r="C15" s="113" t="s">
        <v>371</v>
      </c>
      <c r="D15" s="114">
        <v>1851.0</v>
      </c>
      <c r="E15" s="114">
        <v>1870.0</v>
      </c>
      <c r="F15" s="107">
        <v>3721.0</v>
      </c>
      <c r="G15" s="114">
        <v>1525.0</v>
      </c>
      <c r="H15" s="114">
        <v>1590.0</v>
      </c>
      <c r="I15" s="107">
        <v>3115.0</v>
      </c>
      <c r="J15" s="114">
        <v>1142.0</v>
      </c>
      <c r="K15" s="114">
        <v>1091.0</v>
      </c>
      <c r="L15" s="107">
        <v>2233.0</v>
      </c>
      <c r="M15" s="102"/>
      <c r="N15" s="106" t="s">
        <v>345</v>
      </c>
      <c r="O15" s="107">
        <f t="shared" si="1"/>
        <v>70507</v>
      </c>
    </row>
    <row r="16">
      <c r="C16" s="113" t="s">
        <v>372</v>
      </c>
      <c r="D16" s="114">
        <v>3966.0</v>
      </c>
      <c r="E16" s="114">
        <v>4051.0</v>
      </c>
      <c r="F16" s="107">
        <v>8017.0</v>
      </c>
      <c r="G16" s="114">
        <v>3291.0</v>
      </c>
      <c r="H16" s="114">
        <v>3343.0</v>
      </c>
      <c r="I16" s="107">
        <v>6634.0</v>
      </c>
      <c r="J16" s="114">
        <v>2565.0</v>
      </c>
      <c r="K16" s="114">
        <v>2495.0</v>
      </c>
      <c r="L16" s="107">
        <v>5060.0</v>
      </c>
      <c r="M16" s="102"/>
      <c r="N16" s="106" t="s">
        <v>346</v>
      </c>
      <c r="O16" s="107">
        <f t="shared" si="1"/>
        <v>30985</v>
      </c>
    </row>
    <row r="17">
      <c r="C17" s="113" t="s">
        <v>373</v>
      </c>
      <c r="D17" s="114">
        <v>1774.0</v>
      </c>
      <c r="E17" s="114">
        <v>1766.0</v>
      </c>
      <c r="F17" s="107">
        <v>3540.0</v>
      </c>
      <c r="G17" s="114">
        <v>1406.0</v>
      </c>
      <c r="H17" s="114">
        <v>1334.0</v>
      </c>
      <c r="I17" s="107">
        <v>2740.0</v>
      </c>
      <c r="J17" s="107">
        <v>995.0</v>
      </c>
      <c r="K17" s="114">
        <v>1010.0</v>
      </c>
      <c r="L17" s="107">
        <v>2005.0</v>
      </c>
      <c r="M17" s="102"/>
      <c r="N17" s="106" t="s">
        <v>347</v>
      </c>
      <c r="O17" s="107">
        <f t="shared" si="1"/>
        <v>34316</v>
      </c>
    </row>
    <row r="18">
      <c r="C18" s="113" t="s">
        <v>374</v>
      </c>
      <c r="D18" s="114">
        <v>1375.0</v>
      </c>
      <c r="E18" s="114">
        <v>1513.0</v>
      </c>
      <c r="F18" s="107">
        <v>2888.0</v>
      </c>
      <c r="G18" s="114">
        <v>1177.0</v>
      </c>
      <c r="H18" s="114">
        <v>1239.0</v>
      </c>
      <c r="I18" s="107">
        <v>2416.0</v>
      </c>
      <c r="J18" s="107">
        <v>828.0</v>
      </c>
      <c r="K18" s="107">
        <v>915.0</v>
      </c>
      <c r="L18" s="107">
        <v>1743.0</v>
      </c>
      <c r="M18" s="102"/>
      <c r="N18" s="106" t="s">
        <v>348</v>
      </c>
      <c r="O18" s="107">
        <f t="shared" si="1"/>
        <v>51874</v>
      </c>
    </row>
    <row r="19">
      <c r="C19" s="113" t="s">
        <v>375</v>
      </c>
      <c r="D19" s="114">
        <v>2167.0</v>
      </c>
      <c r="E19" s="114">
        <v>2314.0</v>
      </c>
      <c r="F19" s="107">
        <v>4481.0</v>
      </c>
      <c r="G19" s="114">
        <v>1764.0</v>
      </c>
      <c r="H19" s="114">
        <v>1874.0</v>
      </c>
      <c r="I19" s="107">
        <v>3638.0</v>
      </c>
      <c r="J19" s="114">
        <v>1211.0</v>
      </c>
      <c r="K19" s="114">
        <v>1358.0</v>
      </c>
      <c r="L19" s="107">
        <v>2569.0</v>
      </c>
      <c r="M19" s="102"/>
      <c r="N19" s="106" t="s">
        <v>349</v>
      </c>
      <c r="O19" s="107">
        <f t="shared" si="1"/>
        <v>73743</v>
      </c>
    </row>
    <row r="20">
      <c r="C20" s="113" t="s">
        <v>376</v>
      </c>
      <c r="D20" s="114">
        <v>1230.0</v>
      </c>
      <c r="E20" s="114">
        <v>1269.0</v>
      </c>
      <c r="F20" s="107">
        <v>2499.0</v>
      </c>
      <c r="G20" s="114">
        <v>1002.0</v>
      </c>
      <c r="H20" s="114">
        <v>1018.0</v>
      </c>
      <c r="I20" s="107">
        <v>2020.0</v>
      </c>
      <c r="J20" s="107">
        <v>705.0</v>
      </c>
      <c r="K20" s="107">
        <v>691.0</v>
      </c>
      <c r="L20" s="107">
        <v>1396.0</v>
      </c>
      <c r="M20" s="102"/>
      <c r="N20" s="106" t="s">
        <v>350</v>
      </c>
      <c r="O20" s="107">
        <f t="shared" si="1"/>
        <v>162284</v>
      </c>
    </row>
    <row r="21">
      <c r="C21" s="113" t="s">
        <v>377</v>
      </c>
      <c r="D21" s="114">
        <v>1521.0</v>
      </c>
      <c r="E21" s="114">
        <v>1525.0</v>
      </c>
      <c r="F21" s="107">
        <v>3046.0</v>
      </c>
      <c r="G21" s="114">
        <v>1304.0</v>
      </c>
      <c r="H21" s="114">
        <v>1289.0</v>
      </c>
      <c r="I21" s="107">
        <v>2593.0</v>
      </c>
      <c r="J21" s="107">
        <v>931.0</v>
      </c>
      <c r="K21" s="107">
        <v>962.0</v>
      </c>
      <c r="L21" s="107">
        <v>1893.0</v>
      </c>
      <c r="M21" s="102"/>
      <c r="N21" s="106" t="s">
        <v>351</v>
      </c>
      <c r="O21" s="107">
        <f t="shared" si="1"/>
        <v>23983</v>
      </c>
    </row>
    <row r="22">
      <c r="C22" s="113" t="s">
        <v>378</v>
      </c>
      <c r="D22" s="107">
        <v>886.0</v>
      </c>
      <c r="E22" s="107">
        <v>872.0</v>
      </c>
      <c r="F22" s="107">
        <v>1758.0</v>
      </c>
      <c r="G22" s="107">
        <v>745.0</v>
      </c>
      <c r="H22" s="107">
        <v>753.0</v>
      </c>
      <c r="I22" s="107">
        <v>1498.0</v>
      </c>
      <c r="J22" s="107">
        <v>552.0</v>
      </c>
      <c r="K22" s="107">
        <v>511.0</v>
      </c>
      <c r="L22" s="107">
        <v>1063.0</v>
      </c>
      <c r="M22" s="102"/>
      <c r="N22" s="106" t="s">
        <v>352</v>
      </c>
      <c r="O22" s="107">
        <f t="shared" si="1"/>
        <v>25758</v>
      </c>
    </row>
    <row r="23">
      <c r="C23" s="113" t="s">
        <v>379</v>
      </c>
      <c r="D23" s="114">
        <v>1422.0</v>
      </c>
      <c r="E23" s="114">
        <v>1425.0</v>
      </c>
      <c r="F23" s="107">
        <v>2847.0</v>
      </c>
      <c r="G23" s="114">
        <v>1341.0</v>
      </c>
      <c r="H23" s="114">
        <v>1197.0</v>
      </c>
      <c r="I23" s="107">
        <v>2538.0</v>
      </c>
      <c r="J23" s="107">
        <v>919.0</v>
      </c>
      <c r="K23" s="107">
        <v>877.0</v>
      </c>
      <c r="L23" s="107">
        <v>1796.0</v>
      </c>
      <c r="M23" s="102"/>
      <c r="N23" s="106" t="s">
        <v>353</v>
      </c>
      <c r="O23" s="107">
        <f t="shared" si="1"/>
        <v>63803</v>
      </c>
    </row>
    <row r="24">
      <c r="C24" s="113" t="s">
        <v>380</v>
      </c>
      <c r="D24" s="114">
        <v>2028.0</v>
      </c>
      <c r="E24" s="114">
        <v>1938.0</v>
      </c>
      <c r="F24" s="107">
        <v>3966.0</v>
      </c>
      <c r="G24" s="114">
        <v>1403.0</v>
      </c>
      <c r="H24" s="114">
        <v>1332.0</v>
      </c>
      <c r="I24" s="107">
        <v>2735.0</v>
      </c>
      <c r="J24" s="114">
        <v>1068.0</v>
      </c>
      <c r="K24" s="107">
        <v>996.0</v>
      </c>
      <c r="L24" s="107">
        <v>2064.0</v>
      </c>
      <c r="M24" s="102"/>
      <c r="N24" s="106" t="s">
        <v>354</v>
      </c>
      <c r="O24" s="107">
        <f t="shared" si="1"/>
        <v>18832</v>
      </c>
    </row>
    <row r="25">
      <c r="C25" s="113" t="s">
        <v>381</v>
      </c>
      <c r="D25" s="114">
        <v>2677.0</v>
      </c>
      <c r="E25" s="114">
        <v>2602.0</v>
      </c>
      <c r="F25" s="107">
        <v>5279.0</v>
      </c>
      <c r="G25" s="114">
        <v>2292.0</v>
      </c>
      <c r="H25" s="114">
        <v>2268.0</v>
      </c>
      <c r="I25" s="107">
        <v>4560.0</v>
      </c>
      <c r="J25" s="114">
        <v>1777.0</v>
      </c>
      <c r="K25" s="114">
        <v>1786.0</v>
      </c>
      <c r="L25" s="107">
        <v>3563.0</v>
      </c>
      <c r="M25" s="102"/>
      <c r="N25" s="106" t="s">
        <v>355</v>
      </c>
      <c r="O25" s="107">
        <f t="shared" si="1"/>
        <v>16191</v>
      </c>
    </row>
    <row r="26">
      <c r="C26" s="113" t="s">
        <v>382</v>
      </c>
      <c r="D26" s="114">
        <v>5778.0</v>
      </c>
      <c r="E26" s="114">
        <v>6015.0</v>
      </c>
      <c r="F26" s="107">
        <v>11793.0</v>
      </c>
      <c r="G26" s="114">
        <v>4590.0</v>
      </c>
      <c r="H26" s="114">
        <v>4779.0</v>
      </c>
      <c r="I26" s="107">
        <v>9369.0</v>
      </c>
      <c r="J26" s="114">
        <v>3513.0</v>
      </c>
      <c r="K26" s="114">
        <v>3612.0</v>
      </c>
      <c r="L26" s="107">
        <v>7125.0</v>
      </c>
      <c r="M26" s="102"/>
      <c r="N26" s="106" t="s">
        <v>356</v>
      </c>
      <c r="O26" s="107">
        <f t="shared" si="1"/>
        <v>35629</v>
      </c>
    </row>
    <row r="27">
      <c r="C27" s="113" t="s">
        <v>383</v>
      </c>
      <c r="D27" s="107">
        <v>895.0</v>
      </c>
      <c r="E27" s="114">
        <v>1016.0</v>
      </c>
      <c r="F27" s="107">
        <v>1911.0</v>
      </c>
      <c r="G27" s="107">
        <v>650.0</v>
      </c>
      <c r="H27" s="107">
        <v>728.0</v>
      </c>
      <c r="I27" s="107">
        <v>1378.0</v>
      </c>
      <c r="J27" s="107">
        <v>487.0</v>
      </c>
      <c r="K27" s="107">
        <v>540.0</v>
      </c>
      <c r="L27" s="107">
        <v>1027.0</v>
      </c>
      <c r="M27" s="102"/>
      <c r="N27" s="106" t="s">
        <v>357</v>
      </c>
      <c r="O27" s="107">
        <f t="shared" si="1"/>
        <v>24825</v>
      </c>
    </row>
    <row r="28">
      <c r="C28" s="113" t="s">
        <v>384</v>
      </c>
      <c r="D28" s="107">
        <v>851.0</v>
      </c>
      <c r="E28" s="107">
        <v>863.0</v>
      </c>
      <c r="F28" s="107">
        <v>1714.0</v>
      </c>
      <c r="G28" s="107">
        <v>618.0</v>
      </c>
      <c r="H28" s="107">
        <v>676.0</v>
      </c>
      <c r="I28" s="107">
        <v>1294.0</v>
      </c>
      <c r="J28" s="107">
        <v>518.0</v>
      </c>
      <c r="K28" s="107">
        <v>535.0</v>
      </c>
      <c r="L28" s="107">
        <v>1053.0</v>
      </c>
      <c r="M28" s="102"/>
      <c r="N28" s="106" t="s">
        <v>358</v>
      </c>
      <c r="O28" s="107">
        <f t="shared" si="1"/>
        <v>10435</v>
      </c>
    </row>
    <row r="29">
      <c r="C29" s="113" t="s">
        <v>385</v>
      </c>
      <c r="D29" s="114">
        <v>2005.0</v>
      </c>
      <c r="E29" s="114">
        <v>2262.0</v>
      </c>
      <c r="F29" s="107">
        <v>4267.0</v>
      </c>
      <c r="G29" s="114">
        <v>2062.0</v>
      </c>
      <c r="H29" s="114">
        <v>2227.0</v>
      </c>
      <c r="I29" s="107">
        <v>4289.0</v>
      </c>
      <c r="J29" s="114">
        <v>1582.0</v>
      </c>
      <c r="K29" s="114">
        <v>1603.0</v>
      </c>
      <c r="L29" s="107">
        <v>3185.0</v>
      </c>
      <c r="M29" s="102"/>
      <c r="N29" s="106" t="s">
        <v>359</v>
      </c>
      <c r="O29" s="107">
        <f t="shared" si="1"/>
        <v>12790</v>
      </c>
    </row>
    <row r="30">
      <c r="C30" s="113" t="s">
        <v>386</v>
      </c>
      <c r="D30" s="114">
        <v>4304.0</v>
      </c>
      <c r="E30" s="114">
        <v>3987.0</v>
      </c>
      <c r="F30" s="107">
        <v>8291.0</v>
      </c>
      <c r="G30" s="114">
        <v>3412.0</v>
      </c>
      <c r="H30" s="114">
        <v>3204.0</v>
      </c>
      <c r="I30" s="107">
        <v>6616.0</v>
      </c>
      <c r="J30" s="114">
        <v>2797.0</v>
      </c>
      <c r="K30" s="114">
        <v>2670.0</v>
      </c>
      <c r="L30" s="107">
        <v>5467.0</v>
      </c>
      <c r="M30" s="102"/>
      <c r="N30" s="106" t="s">
        <v>360</v>
      </c>
      <c r="O30" s="107">
        <f t="shared" si="1"/>
        <v>54999</v>
      </c>
    </row>
    <row r="31">
      <c r="C31" s="113" t="s">
        <v>387</v>
      </c>
      <c r="D31" s="114">
        <v>1133.0</v>
      </c>
      <c r="E31" s="114">
        <v>1085.0</v>
      </c>
      <c r="F31" s="107">
        <v>2218.0</v>
      </c>
      <c r="G31" s="114">
        <v>1138.0</v>
      </c>
      <c r="H31" s="114">
        <v>1123.0</v>
      </c>
      <c r="I31" s="107">
        <v>2261.0</v>
      </c>
      <c r="J31" s="107">
        <v>863.0</v>
      </c>
      <c r="K31" s="107">
        <v>851.0</v>
      </c>
      <c r="L31" s="107">
        <v>1714.0</v>
      </c>
      <c r="M31" s="102"/>
      <c r="N31" s="106" t="s">
        <v>361</v>
      </c>
      <c r="O31" s="107">
        <f t="shared" si="1"/>
        <v>79668</v>
      </c>
    </row>
    <row r="32">
      <c r="C32" s="113" t="s">
        <v>388</v>
      </c>
      <c r="D32" s="107">
        <v>886.0</v>
      </c>
      <c r="E32" s="107">
        <v>908.0</v>
      </c>
      <c r="F32" s="107">
        <v>1794.0</v>
      </c>
      <c r="G32" s="107">
        <v>739.0</v>
      </c>
      <c r="H32" s="107">
        <v>794.0</v>
      </c>
      <c r="I32" s="107">
        <v>1533.0</v>
      </c>
      <c r="J32" s="107">
        <v>537.0</v>
      </c>
      <c r="K32" s="107">
        <v>613.0</v>
      </c>
      <c r="L32" s="107">
        <v>1150.0</v>
      </c>
      <c r="M32" s="102"/>
      <c r="N32" s="106" t="s">
        <v>362</v>
      </c>
      <c r="O32" s="107">
        <f t="shared" si="1"/>
        <v>21958</v>
      </c>
    </row>
    <row r="33">
      <c r="C33" s="113" t="s">
        <v>389</v>
      </c>
      <c r="D33" s="107">
        <v>428.0</v>
      </c>
      <c r="E33" s="107">
        <v>401.0</v>
      </c>
      <c r="F33" s="107">
        <v>829.0</v>
      </c>
      <c r="G33" s="107">
        <v>380.0</v>
      </c>
      <c r="H33" s="107">
        <v>376.0</v>
      </c>
      <c r="I33" s="107">
        <v>756.0</v>
      </c>
      <c r="J33" s="107">
        <v>279.0</v>
      </c>
      <c r="K33" s="107">
        <v>267.0</v>
      </c>
      <c r="L33" s="107">
        <v>546.0</v>
      </c>
      <c r="M33" s="102"/>
      <c r="N33" s="106" t="s">
        <v>363</v>
      </c>
      <c r="O33" s="107">
        <f t="shared" si="1"/>
        <v>7149</v>
      </c>
    </row>
    <row r="34">
      <c r="C34" s="113" t="s">
        <v>390</v>
      </c>
      <c r="D34" s="107">
        <v>377.0</v>
      </c>
      <c r="E34" s="107">
        <v>427.0</v>
      </c>
      <c r="F34" s="107">
        <v>804.0</v>
      </c>
      <c r="G34" s="107">
        <v>348.0</v>
      </c>
      <c r="H34" s="107">
        <v>387.0</v>
      </c>
      <c r="I34" s="107">
        <v>735.0</v>
      </c>
      <c r="J34" s="107">
        <v>282.0</v>
      </c>
      <c r="K34" s="107">
        <v>284.0</v>
      </c>
      <c r="L34" s="107">
        <v>566.0</v>
      </c>
      <c r="M34" s="102"/>
      <c r="N34" s="106" t="s">
        <v>364</v>
      </c>
      <c r="O34" s="107">
        <f t="shared" si="1"/>
        <v>9466</v>
      </c>
    </row>
    <row r="35">
      <c r="C35" s="113" t="s">
        <v>391</v>
      </c>
      <c r="D35" s="114">
        <v>1363.0</v>
      </c>
      <c r="E35" s="114">
        <v>1446.0</v>
      </c>
      <c r="F35" s="107">
        <v>2809.0</v>
      </c>
      <c r="G35" s="114">
        <v>1234.0</v>
      </c>
      <c r="H35" s="114">
        <v>1300.0</v>
      </c>
      <c r="I35" s="107">
        <v>2534.0</v>
      </c>
      <c r="J35" s="107">
        <v>863.0</v>
      </c>
      <c r="K35" s="107">
        <v>972.0</v>
      </c>
      <c r="L35" s="107">
        <v>1835.0</v>
      </c>
      <c r="M35" s="102"/>
      <c r="N35" s="106" t="s">
        <v>365</v>
      </c>
      <c r="O35" s="107">
        <f t="shared" si="1"/>
        <v>48982</v>
      </c>
    </row>
    <row r="36">
      <c r="C36" s="113" t="s">
        <v>392</v>
      </c>
      <c r="D36" s="107">
        <v>827.0</v>
      </c>
      <c r="E36" s="107">
        <v>881.0</v>
      </c>
      <c r="F36" s="107">
        <v>1708.0</v>
      </c>
      <c r="G36" s="107">
        <v>731.0</v>
      </c>
      <c r="H36" s="107">
        <v>819.0</v>
      </c>
      <c r="I36" s="107">
        <v>1550.0</v>
      </c>
      <c r="J36" s="107">
        <v>487.0</v>
      </c>
      <c r="K36" s="107">
        <v>492.0</v>
      </c>
      <c r="L36" s="107">
        <v>979.0</v>
      </c>
      <c r="M36" s="102"/>
      <c r="N36" s="106" t="s">
        <v>366</v>
      </c>
      <c r="O36" s="107">
        <f t="shared" si="1"/>
        <v>42780</v>
      </c>
    </row>
    <row r="37">
      <c r="C37" s="113" t="s">
        <v>393</v>
      </c>
      <c r="D37" s="107">
        <v>952.0</v>
      </c>
      <c r="E37" s="107">
        <v>958.0</v>
      </c>
      <c r="F37" s="107">
        <v>1910.0</v>
      </c>
      <c r="G37" s="107">
        <v>775.0</v>
      </c>
      <c r="H37" s="107">
        <v>758.0</v>
      </c>
      <c r="I37" s="107">
        <v>1533.0</v>
      </c>
      <c r="J37" s="107">
        <v>568.0</v>
      </c>
      <c r="K37" s="107">
        <v>546.0</v>
      </c>
      <c r="L37" s="107">
        <v>1114.0</v>
      </c>
      <c r="M37" s="102"/>
      <c r="N37" s="106" t="s">
        <v>367</v>
      </c>
      <c r="O37" s="107">
        <f t="shared" si="1"/>
        <v>37602</v>
      </c>
    </row>
    <row r="38">
      <c r="C38" s="113" t="s">
        <v>394</v>
      </c>
      <c r="D38" s="107">
        <v>981.0</v>
      </c>
      <c r="E38" s="107">
        <v>954.0</v>
      </c>
      <c r="F38" s="107">
        <v>1935.0</v>
      </c>
      <c r="G38" s="114">
        <v>1680.0</v>
      </c>
      <c r="H38" s="114">
        <v>2008.0</v>
      </c>
      <c r="I38" s="107">
        <v>3688.0</v>
      </c>
      <c r="J38" s="107">
        <v>645.0</v>
      </c>
      <c r="K38" s="107">
        <v>578.0</v>
      </c>
      <c r="L38" s="107">
        <v>1223.0</v>
      </c>
      <c r="M38" s="102"/>
      <c r="N38" s="106" t="s">
        <v>368</v>
      </c>
      <c r="O38" s="107">
        <f t="shared" si="1"/>
        <v>20254</v>
      </c>
    </row>
    <row r="39">
      <c r="C39" s="113" t="s">
        <v>395</v>
      </c>
      <c r="D39" s="114">
        <v>1372.0</v>
      </c>
      <c r="E39" s="114">
        <v>1437.0</v>
      </c>
      <c r="F39" s="107">
        <v>2809.0</v>
      </c>
      <c r="G39" s="107">
        <v>895.0</v>
      </c>
      <c r="H39" s="107">
        <v>845.0</v>
      </c>
      <c r="I39" s="107">
        <v>1740.0</v>
      </c>
      <c r="J39" s="107">
        <v>858.0</v>
      </c>
      <c r="K39" s="107">
        <v>856.0</v>
      </c>
      <c r="L39" s="107">
        <v>1714.0</v>
      </c>
      <c r="M39" s="102"/>
      <c r="N39" s="106" t="s">
        <v>369</v>
      </c>
      <c r="O39" s="107">
        <f t="shared" si="1"/>
        <v>35087</v>
      </c>
    </row>
    <row r="40">
      <c r="C40" s="113" t="s">
        <v>396</v>
      </c>
      <c r="D40" s="107">
        <v>929.0</v>
      </c>
      <c r="E40" s="114">
        <v>1006.0</v>
      </c>
      <c r="F40" s="107">
        <v>1935.0</v>
      </c>
      <c r="G40" s="107">
        <v>529.0</v>
      </c>
      <c r="H40" s="107">
        <v>580.0</v>
      </c>
      <c r="I40" s="107">
        <v>1109.0</v>
      </c>
      <c r="J40" s="107">
        <v>507.0</v>
      </c>
      <c r="K40" s="107">
        <v>583.0</v>
      </c>
      <c r="L40" s="107">
        <v>1090.0</v>
      </c>
      <c r="M40" s="102"/>
      <c r="N40" s="106" t="s">
        <v>370</v>
      </c>
      <c r="O40" s="107">
        <f t="shared" si="1"/>
        <v>41748</v>
      </c>
    </row>
    <row r="41">
      <c r="C41" s="113" t="s">
        <v>397</v>
      </c>
      <c r="D41" s="107">
        <v>634.0</v>
      </c>
      <c r="E41" s="107">
        <v>647.0</v>
      </c>
      <c r="F41" s="107">
        <v>1281.0</v>
      </c>
      <c r="G41" s="107">
        <v>307.0</v>
      </c>
      <c r="H41" s="107">
        <v>327.0</v>
      </c>
      <c r="I41" s="107">
        <v>634.0</v>
      </c>
      <c r="J41" s="107">
        <v>233.0</v>
      </c>
      <c r="K41" s="107">
        <v>294.0</v>
      </c>
      <c r="L41" s="107">
        <v>527.0</v>
      </c>
      <c r="M41" s="102"/>
      <c r="N41" s="106" t="s">
        <v>371</v>
      </c>
      <c r="O41" s="107">
        <f t="shared" si="1"/>
        <v>52532</v>
      </c>
    </row>
    <row r="42">
      <c r="C42" s="113" t="s">
        <v>398</v>
      </c>
      <c r="D42" s="107">
        <v>999.0</v>
      </c>
      <c r="E42" s="114">
        <v>1018.0</v>
      </c>
      <c r="F42" s="107">
        <v>2017.0</v>
      </c>
      <c r="G42" s="114">
        <v>1255.0</v>
      </c>
      <c r="H42" s="114">
        <v>1549.0</v>
      </c>
      <c r="I42" s="107">
        <v>2804.0</v>
      </c>
      <c r="J42" s="107">
        <v>587.0</v>
      </c>
      <c r="K42" s="107">
        <v>590.0</v>
      </c>
      <c r="L42" s="107">
        <v>1177.0</v>
      </c>
      <c r="M42" s="102"/>
      <c r="N42" s="106" t="s">
        <v>372</v>
      </c>
      <c r="O42" s="107">
        <f t="shared" si="1"/>
        <v>113241</v>
      </c>
    </row>
    <row r="43">
      <c r="C43" s="113" t="s">
        <v>399</v>
      </c>
      <c r="D43" s="107">
        <v>864.0</v>
      </c>
      <c r="E43" s="107">
        <v>914.0</v>
      </c>
      <c r="F43" s="107">
        <v>1778.0</v>
      </c>
      <c r="G43" s="107">
        <v>691.0</v>
      </c>
      <c r="H43" s="107">
        <v>703.0</v>
      </c>
      <c r="I43" s="107">
        <v>1394.0</v>
      </c>
      <c r="J43" s="107">
        <v>540.0</v>
      </c>
      <c r="K43" s="107">
        <v>632.0</v>
      </c>
      <c r="L43" s="107">
        <v>1172.0</v>
      </c>
      <c r="M43" s="102"/>
      <c r="N43" s="106" t="s">
        <v>373</v>
      </c>
      <c r="O43" s="107">
        <f t="shared" si="1"/>
        <v>49627</v>
      </c>
    </row>
    <row r="44">
      <c r="C44" s="113" t="s">
        <v>400</v>
      </c>
      <c r="D44" s="107">
        <v>762.0</v>
      </c>
      <c r="E44" s="107">
        <v>742.0</v>
      </c>
      <c r="F44" s="107">
        <v>1504.0</v>
      </c>
      <c r="G44" s="107">
        <v>515.0</v>
      </c>
      <c r="H44" s="107">
        <v>525.0</v>
      </c>
      <c r="I44" s="107">
        <v>1040.0</v>
      </c>
      <c r="J44" s="107">
        <v>413.0</v>
      </c>
      <c r="K44" s="107">
        <v>464.0</v>
      </c>
      <c r="L44" s="107">
        <v>877.0</v>
      </c>
      <c r="M44" s="102"/>
      <c r="N44" s="106" t="s">
        <v>374</v>
      </c>
      <c r="O44" s="107">
        <f t="shared" si="1"/>
        <v>39098</v>
      </c>
    </row>
    <row r="45">
      <c r="C45" s="113" t="s">
        <v>401</v>
      </c>
      <c r="D45" s="107">
        <v>644.0</v>
      </c>
      <c r="E45" s="107">
        <v>654.0</v>
      </c>
      <c r="F45" s="107">
        <v>1298.0</v>
      </c>
      <c r="G45" s="107">
        <v>279.0</v>
      </c>
      <c r="H45" s="107">
        <v>278.0</v>
      </c>
      <c r="I45" s="107">
        <v>557.0</v>
      </c>
      <c r="J45" s="107">
        <v>269.0</v>
      </c>
      <c r="K45" s="107">
        <v>273.0</v>
      </c>
      <c r="L45" s="107">
        <v>542.0</v>
      </c>
      <c r="M45" s="102"/>
      <c r="N45" s="106" t="s">
        <v>375</v>
      </c>
      <c r="O45" s="107">
        <f t="shared" si="1"/>
        <v>60785</v>
      </c>
    </row>
    <row r="46">
      <c r="C46" s="113" t="s">
        <v>402</v>
      </c>
      <c r="D46" s="107">
        <v>383.0</v>
      </c>
      <c r="E46" s="107">
        <v>389.0</v>
      </c>
      <c r="F46" s="107">
        <v>772.0</v>
      </c>
      <c r="G46" s="107">
        <v>266.0</v>
      </c>
      <c r="H46" s="107">
        <v>242.0</v>
      </c>
      <c r="I46" s="107">
        <v>508.0</v>
      </c>
      <c r="J46" s="107">
        <v>177.0</v>
      </c>
      <c r="K46" s="107">
        <v>210.0</v>
      </c>
      <c r="L46" s="107">
        <v>387.0</v>
      </c>
      <c r="M46" s="102"/>
      <c r="N46" s="106" t="s">
        <v>376</v>
      </c>
      <c r="O46" s="107">
        <f t="shared" si="1"/>
        <v>34593</v>
      </c>
    </row>
    <row r="47">
      <c r="C47" s="113" t="s">
        <v>403</v>
      </c>
      <c r="D47" s="107">
        <v>873.0</v>
      </c>
      <c r="E47" s="107">
        <v>857.0</v>
      </c>
      <c r="F47" s="107">
        <v>1730.0</v>
      </c>
      <c r="G47" s="107">
        <v>664.0</v>
      </c>
      <c r="H47" s="107">
        <v>645.0</v>
      </c>
      <c r="I47" s="107">
        <v>1309.0</v>
      </c>
      <c r="J47" s="107">
        <v>578.0</v>
      </c>
      <c r="K47" s="107">
        <v>577.0</v>
      </c>
      <c r="L47" s="107">
        <v>1155.0</v>
      </c>
      <c r="M47" s="102"/>
      <c r="N47" s="106" t="s">
        <v>377</v>
      </c>
      <c r="O47" s="107">
        <f t="shared" si="1"/>
        <v>43333</v>
      </c>
    </row>
    <row r="48">
      <c r="C48" s="113" t="s">
        <v>404</v>
      </c>
      <c r="D48" s="107">
        <v>530.0</v>
      </c>
      <c r="E48" s="107">
        <v>512.0</v>
      </c>
      <c r="F48" s="107">
        <v>1042.0</v>
      </c>
      <c r="G48" s="107">
        <v>347.0</v>
      </c>
      <c r="H48" s="107">
        <v>361.0</v>
      </c>
      <c r="I48" s="107">
        <v>708.0</v>
      </c>
      <c r="J48" s="107">
        <v>295.0</v>
      </c>
      <c r="K48" s="107">
        <v>312.0</v>
      </c>
      <c r="L48" s="107">
        <v>607.0</v>
      </c>
      <c r="M48" s="102"/>
      <c r="N48" s="106" t="s">
        <v>378</v>
      </c>
      <c r="O48" s="107">
        <f t="shared" si="1"/>
        <v>25232</v>
      </c>
    </row>
    <row r="49">
      <c r="C49" s="113" t="s">
        <v>405</v>
      </c>
      <c r="D49" s="107">
        <v>414.0</v>
      </c>
      <c r="E49" s="107">
        <v>427.0</v>
      </c>
      <c r="F49" s="107">
        <v>841.0</v>
      </c>
      <c r="G49" s="107">
        <v>335.0</v>
      </c>
      <c r="H49" s="107">
        <v>334.0</v>
      </c>
      <c r="I49" s="107">
        <v>669.0</v>
      </c>
      <c r="J49" s="107">
        <v>213.0</v>
      </c>
      <c r="K49" s="107">
        <v>256.0</v>
      </c>
      <c r="L49" s="107">
        <v>469.0</v>
      </c>
      <c r="M49" s="102"/>
      <c r="N49" s="106" t="s">
        <v>379</v>
      </c>
      <c r="O49" s="107">
        <f t="shared" si="1"/>
        <v>41243</v>
      </c>
    </row>
    <row r="50">
      <c r="C50" s="113" t="s">
        <v>407</v>
      </c>
      <c r="D50" s="107">
        <v>399.0</v>
      </c>
      <c r="E50" s="107">
        <v>414.0</v>
      </c>
      <c r="F50" s="107">
        <v>813.0</v>
      </c>
      <c r="G50" s="107">
        <v>313.0</v>
      </c>
      <c r="H50" s="107">
        <v>321.0</v>
      </c>
      <c r="I50" s="107">
        <v>634.0</v>
      </c>
      <c r="J50" s="107">
        <v>216.0</v>
      </c>
      <c r="K50" s="107">
        <v>263.0</v>
      </c>
      <c r="L50" s="107">
        <v>479.0</v>
      </c>
      <c r="M50" s="102"/>
      <c r="N50" s="106" t="s">
        <v>380</v>
      </c>
      <c r="O50" s="107">
        <f t="shared" si="1"/>
        <v>55568</v>
      </c>
    </row>
    <row r="51">
      <c r="C51" s="113" t="s">
        <v>409</v>
      </c>
      <c r="D51" s="107">
        <v>243.0</v>
      </c>
      <c r="E51" s="107">
        <v>228.0</v>
      </c>
      <c r="F51" s="107">
        <v>471.0</v>
      </c>
      <c r="G51" s="107">
        <v>247.0</v>
      </c>
      <c r="H51" s="107">
        <v>241.0</v>
      </c>
      <c r="I51" s="107">
        <v>488.0</v>
      </c>
      <c r="J51" s="107">
        <v>189.0</v>
      </c>
      <c r="K51" s="107">
        <v>188.0</v>
      </c>
      <c r="L51" s="107">
        <v>377.0</v>
      </c>
      <c r="M51" s="102"/>
      <c r="N51" s="106" t="s">
        <v>381</v>
      </c>
      <c r="O51" s="107">
        <f t="shared" si="1"/>
        <v>76947</v>
      </c>
    </row>
    <row r="52">
      <c r="C52" s="113" t="s">
        <v>411</v>
      </c>
      <c r="D52" s="114">
        <v>1705.0</v>
      </c>
      <c r="E52" s="114">
        <v>1698.0</v>
      </c>
      <c r="F52" s="107">
        <v>3403.0</v>
      </c>
      <c r="G52" s="114">
        <v>1368.0</v>
      </c>
      <c r="H52" s="114">
        <v>1514.0</v>
      </c>
      <c r="I52" s="107">
        <v>2882.0</v>
      </c>
      <c r="J52" s="114">
        <v>1296.0</v>
      </c>
      <c r="K52" s="114">
        <v>1407.0</v>
      </c>
      <c r="L52" s="107">
        <v>2703.0</v>
      </c>
      <c r="M52" s="102"/>
      <c r="N52" s="106" t="s">
        <v>382</v>
      </c>
      <c r="O52" s="107">
        <f t="shared" si="1"/>
        <v>163041</v>
      </c>
    </row>
    <row r="53">
      <c r="A53" s="101">
        <v>802.0</v>
      </c>
      <c r="B53" s="108" t="s">
        <v>29</v>
      </c>
      <c r="C53" s="109"/>
      <c r="D53" s="110">
        <v>62047.0</v>
      </c>
      <c r="E53" s="110">
        <v>62047.0</v>
      </c>
      <c r="F53" s="111">
        <v>124094.0</v>
      </c>
      <c r="G53" s="110">
        <v>50839.0</v>
      </c>
      <c r="H53" s="110">
        <v>50839.0</v>
      </c>
      <c r="I53" s="111">
        <v>101678.0</v>
      </c>
      <c r="J53" s="110">
        <v>45473.0</v>
      </c>
      <c r="K53" s="110">
        <v>45473.0</v>
      </c>
      <c r="L53" s="111">
        <v>90946.0</v>
      </c>
      <c r="M53" s="102"/>
      <c r="N53" s="106" t="s">
        <v>383</v>
      </c>
      <c r="O53" s="107">
        <f t="shared" si="1"/>
        <v>24725</v>
      </c>
    </row>
    <row r="54">
      <c r="B54" s="101">
        <v>802.0</v>
      </c>
      <c r="C54" s="112" t="s">
        <v>29</v>
      </c>
      <c r="D54" s="110">
        <v>47625.0</v>
      </c>
      <c r="E54" s="110">
        <v>47625.0</v>
      </c>
      <c r="F54" s="111">
        <v>95250.0</v>
      </c>
      <c r="G54" s="110">
        <v>39220.0</v>
      </c>
      <c r="H54" s="110">
        <v>39220.0</v>
      </c>
      <c r="I54" s="111">
        <v>78440.0</v>
      </c>
      <c r="J54" s="110">
        <v>35540.0</v>
      </c>
      <c r="K54" s="110">
        <v>35540.0</v>
      </c>
      <c r="L54" s="111">
        <v>71080.0</v>
      </c>
      <c r="M54" s="102"/>
      <c r="N54" s="106" t="s">
        <v>384</v>
      </c>
      <c r="O54" s="107">
        <f t="shared" si="1"/>
        <v>23784</v>
      </c>
    </row>
    <row r="55">
      <c r="C55" s="113" t="s">
        <v>420</v>
      </c>
      <c r="D55" s="114">
        <v>3647.0</v>
      </c>
      <c r="E55" s="114">
        <v>3651.0</v>
      </c>
      <c r="F55" s="107">
        <v>7298.0</v>
      </c>
      <c r="G55" s="114">
        <v>2436.0</v>
      </c>
      <c r="H55" s="114">
        <v>2735.0</v>
      </c>
      <c r="I55" s="107">
        <v>5171.0</v>
      </c>
      <c r="J55" s="114">
        <v>2397.0</v>
      </c>
      <c r="K55" s="114">
        <v>2733.0</v>
      </c>
      <c r="L55" s="107">
        <v>5130.0</v>
      </c>
      <c r="M55" s="102"/>
      <c r="N55" s="106" t="s">
        <v>385</v>
      </c>
      <c r="O55" s="107">
        <f t="shared" si="1"/>
        <v>60268</v>
      </c>
    </row>
    <row r="56">
      <c r="C56" s="113" t="s">
        <v>422</v>
      </c>
      <c r="D56" s="114">
        <v>1429.0</v>
      </c>
      <c r="E56" s="114">
        <v>1313.0</v>
      </c>
      <c r="F56" s="107">
        <v>2742.0</v>
      </c>
      <c r="G56" s="107">
        <v>920.0</v>
      </c>
      <c r="H56" s="107">
        <v>680.0</v>
      </c>
      <c r="I56" s="107">
        <v>1600.0</v>
      </c>
      <c r="J56" s="107">
        <v>683.0</v>
      </c>
      <c r="K56" s="107">
        <v>962.0</v>
      </c>
      <c r="L56" s="107">
        <v>1645.0</v>
      </c>
      <c r="M56" s="102"/>
      <c r="N56" s="106" t="s">
        <v>386</v>
      </c>
      <c r="O56" s="107">
        <f t="shared" si="1"/>
        <v>122321</v>
      </c>
    </row>
    <row r="57">
      <c r="C57" s="113" t="s">
        <v>423</v>
      </c>
      <c r="D57" s="114">
        <v>2884.0</v>
      </c>
      <c r="E57" s="114">
        <v>2555.0</v>
      </c>
      <c r="F57" s="107">
        <v>5439.0</v>
      </c>
      <c r="G57" s="114">
        <v>2217.0</v>
      </c>
      <c r="H57" s="114">
        <v>1867.0</v>
      </c>
      <c r="I57" s="107">
        <v>4084.0</v>
      </c>
      <c r="J57" s="114">
        <v>2450.0</v>
      </c>
      <c r="K57" s="114">
        <v>1594.0</v>
      </c>
      <c r="L57" s="107">
        <v>4044.0</v>
      </c>
      <c r="M57" s="102"/>
      <c r="N57" s="106" t="s">
        <v>387</v>
      </c>
      <c r="O57" s="107">
        <f t="shared" si="1"/>
        <v>33793</v>
      </c>
    </row>
    <row r="58">
      <c r="C58" s="113" t="s">
        <v>424</v>
      </c>
      <c r="D58" s="114">
        <v>8450.0</v>
      </c>
      <c r="E58" s="114">
        <v>8934.0</v>
      </c>
      <c r="F58" s="107">
        <v>17384.0</v>
      </c>
      <c r="G58" s="114">
        <v>7673.0</v>
      </c>
      <c r="H58" s="114">
        <v>7041.0</v>
      </c>
      <c r="I58" s="107">
        <v>14714.0</v>
      </c>
      <c r="J58" s="114">
        <v>5248.0</v>
      </c>
      <c r="K58" s="114">
        <v>6378.0</v>
      </c>
      <c r="L58" s="107">
        <v>11626.0</v>
      </c>
      <c r="M58" s="102"/>
      <c r="N58" s="106" t="s">
        <v>388</v>
      </c>
      <c r="O58" s="107">
        <f t="shared" si="1"/>
        <v>25133</v>
      </c>
    </row>
    <row r="59">
      <c r="C59" s="113" t="s">
        <v>425</v>
      </c>
      <c r="D59" s="114">
        <v>3242.0</v>
      </c>
      <c r="E59" s="114">
        <v>3220.0</v>
      </c>
      <c r="F59" s="107">
        <v>6462.0</v>
      </c>
      <c r="G59" s="114">
        <v>2959.0</v>
      </c>
      <c r="H59" s="114">
        <v>2459.0</v>
      </c>
      <c r="I59" s="107">
        <v>5418.0</v>
      </c>
      <c r="J59" s="114">
        <v>2484.0</v>
      </c>
      <c r="K59" s="114">
        <v>2543.0</v>
      </c>
      <c r="L59" s="107">
        <v>5027.0</v>
      </c>
      <c r="M59" s="102"/>
      <c r="N59" s="106" t="s">
        <v>389</v>
      </c>
      <c r="O59" s="107">
        <f t="shared" si="1"/>
        <v>12331</v>
      </c>
    </row>
    <row r="60">
      <c r="C60" s="113" t="s">
        <v>426</v>
      </c>
      <c r="D60" s="114">
        <v>3622.0</v>
      </c>
      <c r="E60" s="114">
        <v>3227.0</v>
      </c>
      <c r="F60" s="107">
        <v>6849.0</v>
      </c>
      <c r="G60" s="114">
        <v>3116.0</v>
      </c>
      <c r="H60" s="114">
        <v>2612.0</v>
      </c>
      <c r="I60" s="107">
        <v>5728.0</v>
      </c>
      <c r="J60" s="114">
        <v>2425.0</v>
      </c>
      <c r="K60" s="114">
        <v>2271.0</v>
      </c>
      <c r="L60" s="107">
        <v>4696.0</v>
      </c>
      <c r="M60" s="102"/>
      <c r="N60" s="106" t="s">
        <v>390</v>
      </c>
      <c r="O60" s="107">
        <f t="shared" si="1"/>
        <v>11096</v>
      </c>
    </row>
    <row r="61">
      <c r="C61" s="113" t="s">
        <v>427</v>
      </c>
      <c r="D61" s="114">
        <v>2036.0</v>
      </c>
      <c r="E61" s="114">
        <v>1754.0</v>
      </c>
      <c r="F61" s="107">
        <v>3790.0</v>
      </c>
      <c r="G61" s="114">
        <v>1691.0</v>
      </c>
      <c r="H61" s="114">
        <v>1365.0</v>
      </c>
      <c r="I61" s="107">
        <v>3056.0</v>
      </c>
      <c r="J61" s="114">
        <v>1614.0</v>
      </c>
      <c r="K61" s="114">
        <v>1148.0</v>
      </c>
      <c r="L61" s="107">
        <v>2762.0</v>
      </c>
      <c r="M61" s="102"/>
      <c r="N61" s="106" t="s">
        <v>391</v>
      </c>
      <c r="O61" s="107">
        <f t="shared" si="1"/>
        <v>39237</v>
      </c>
    </row>
    <row r="62">
      <c r="C62" s="113" t="s">
        <v>428</v>
      </c>
      <c r="D62" s="114">
        <v>2503.0</v>
      </c>
      <c r="E62" s="114">
        <v>2214.0</v>
      </c>
      <c r="F62" s="107">
        <v>4717.0</v>
      </c>
      <c r="G62" s="114">
        <v>1594.0</v>
      </c>
      <c r="H62" s="114">
        <v>1601.0</v>
      </c>
      <c r="I62" s="107">
        <v>3195.0</v>
      </c>
      <c r="J62" s="114">
        <v>2007.0</v>
      </c>
      <c r="K62" s="114">
        <v>1605.0</v>
      </c>
      <c r="L62" s="107">
        <v>3612.0</v>
      </c>
      <c r="M62" s="102"/>
      <c r="N62" s="106" t="s">
        <v>392</v>
      </c>
      <c r="O62" s="107">
        <f t="shared" si="1"/>
        <v>23553</v>
      </c>
    </row>
    <row r="63">
      <c r="C63" s="113" t="s">
        <v>429</v>
      </c>
      <c r="D63" s="114">
        <v>2148.0</v>
      </c>
      <c r="E63" s="114">
        <v>2171.0</v>
      </c>
      <c r="F63" s="107">
        <v>4319.0</v>
      </c>
      <c r="G63" s="114">
        <v>1905.0</v>
      </c>
      <c r="H63" s="114">
        <v>1652.0</v>
      </c>
      <c r="I63" s="107">
        <v>3557.0</v>
      </c>
      <c r="J63" s="114">
        <v>1879.0</v>
      </c>
      <c r="K63" s="114">
        <v>1591.0</v>
      </c>
      <c r="L63" s="107">
        <v>3470.0</v>
      </c>
      <c r="M63" s="102"/>
      <c r="N63" s="106" t="s">
        <v>393</v>
      </c>
      <c r="O63" s="107">
        <f t="shared" si="1"/>
        <v>26884</v>
      </c>
    </row>
    <row r="64">
      <c r="C64" s="113" t="s">
        <v>430</v>
      </c>
      <c r="D64" s="114">
        <v>2423.0</v>
      </c>
      <c r="E64" s="114">
        <v>2395.0</v>
      </c>
      <c r="F64" s="107">
        <v>4818.0</v>
      </c>
      <c r="G64" s="114">
        <v>1808.0</v>
      </c>
      <c r="H64" s="114">
        <v>2034.0</v>
      </c>
      <c r="I64" s="107">
        <v>3842.0</v>
      </c>
      <c r="J64" s="114">
        <v>1924.0</v>
      </c>
      <c r="K64" s="114">
        <v>1712.0</v>
      </c>
      <c r="L64" s="107">
        <v>3636.0</v>
      </c>
      <c r="M64" s="102"/>
      <c r="N64" s="106" t="s">
        <v>394</v>
      </c>
      <c r="O64" s="107">
        <f t="shared" si="1"/>
        <v>31527</v>
      </c>
    </row>
    <row r="65">
      <c r="C65" s="113" t="s">
        <v>431</v>
      </c>
      <c r="D65" s="114">
        <v>2489.0</v>
      </c>
      <c r="E65" s="114">
        <v>2661.0</v>
      </c>
      <c r="F65" s="107">
        <v>5150.0</v>
      </c>
      <c r="G65" s="114">
        <v>2638.0</v>
      </c>
      <c r="H65" s="114">
        <v>2458.0</v>
      </c>
      <c r="I65" s="107">
        <v>5096.0</v>
      </c>
      <c r="J65" s="114">
        <v>2450.0</v>
      </c>
      <c r="K65" s="114">
        <v>2349.0</v>
      </c>
      <c r="L65" s="107">
        <v>4799.0</v>
      </c>
      <c r="M65" s="102"/>
      <c r="N65" s="106" t="s">
        <v>395</v>
      </c>
      <c r="O65" s="107">
        <f t="shared" si="1"/>
        <v>38054</v>
      </c>
    </row>
    <row r="66">
      <c r="C66" s="113" t="s">
        <v>432</v>
      </c>
      <c r="D66" s="114">
        <v>3534.0</v>
      </c>
      <c r="E66" s="114">
        <v>3316.0</v>
      </c>
      <c r="F66" s="107">
        <v>6850.0</v>
      </c>
      <c r="G66" s="114">
        <v>3122.0</v>
      </c>
      <c r="H66" s="114">
        <v>3137.0</v>
      </c>
      <c r="I66" s="107">
        <v>6259.0</v>
      </c>
      <c r="J66" s="114">
        <v>3044.0</v>
      </c>
      <c r="K66" s="114">
        <v>2623.0</v>
      </c>
      <c r="L66" s="107">
        <v>5667.0</v>
      </c>
      <c r="M66" s="102"/>
      <c r="N66" s="106" t="s">
        <v>396</v>
      </c>
      <c r="O66" s="107">
        <f t="shared" si="1"/>
        <v>25089</v>
      </c>
    </row>
    <row r="67">
      <c r="C67" s="113" t="s">
        <v>433</v>
      </c>
      <c r="D67" s="114">
        <v>3093.0</v>
      </c>
      <c r="E67" s="114">
        <v>3438.0</v>
      </c>
      <c r="F67" s="107">
        <v>6531.0</v>
      </c>
      <c r="G67" s="114">
        <v>2469.0</v>
      </c>
      <c r="H67" s="114">
        <v>3084.0</v>
      </c>
      <c r="I67" s="107">
        <v>5553.0</v>
      </c>
      <c r="J67" s="114">
        <v>2544.0</v>
      </c>
      <c r="K67" s="114">
        <v>2501.0</v>
      </c>
      <c r="L67" s="107">
        <v>5045.0</v>
      </c>
      <c r="M67" s="102"/>
      <c r="N67" s="106" t="s">
        <v>397</v>
      </c>
      <c r="O67" s="107">
        <f t="shared" si="1"/>
        <v>16341</v>
      </c>
    </row>
    <row r="68">
      <c r="C68" s="113" t="s">
        <v>434</v>
      </c>
      <c r="D68" s="114">
        <v>6125.0</v>
      </c>
      <c r="E68" s="114">
        <v>6776.0</v>
      </c>
      <c r="F68" s="107">
        <v>12901.0</v>
      </c>
      <c r="G68" s="114">
        <v>4672.0</v>
      </c>
      <c r="H68" s="114">
        <v>6495.0</v>
      </c>
      <c r="I68" s="107">
        <v>11167.0</v>
      </c>
      <c r="J68" s="114">
        <v>4391.0</v>
      </c>
      <c r="K68" s="114">
        <v>5530.0</v>
      </c>
      <c r="L68" s="107">
        <v>9921.0</v>
      </c>
      <c r="M68" s="102"/>
      <c r="N68" s="106" t="s">
        <v>398</v>
      </c>
      <c r="O68" s="107">
        <f t="shared" si="1"/>
        <v>29933</v>
      </c>
    </row>
    <row r="69">
      <c r="B69" s="101">
        <v>805.0</v>
      </c>
      <c r="C69" s="112" t="s">
        <v>29</v>
      </c>
      <c r="D69" s="110">
        <v>14422.0</v>
      </c>
      <c r="E69" s="110">
        <v>14422.0</v>
      </c>
      <c r="F69" s="111">
        <v>28844.0</v>
      </c>
      <c r="G69" s="110">
        <v>11619.0</v>
      </c>
      <c r="H69" s="110">
        <v>11619.0</v>
      </c>
      <c r="I69" s="111">
        <v>23238.0</v>
      </c>
      <c r="J69" s="110">
        <v>9933.0</v>
      </c>
      <c r="K69" s="110">
        <v>9933.0</v>
      </c>
      <c r="L69" s="111">
        <v>19866.0</v>
      </c>
      <c r="M69" s="102"/>
      <c r="N69" s="106" t="s">
        <v>399</v>
      </c>
      <c r="O69" s="107">
        <f t="shared" si="1"/>
        <v>24472</v>
      </c>
    </row>
    <row r="70">
      <c r="C70" s="113" t="s">
        <v>435</v>
      </c>
      <c r="D70" s="114">
        <v>2204.0</v>
      </c>
      <c r="E70" s="114">
        <v>2419.0</v>
      </c>
      <c r="F70" s="107">
        <v>4623.0</v>
      </c>
      <c r="G70" s="114">
        <v>1101.0</v>
      </c>
      <c r="H70" s="114">
        <v>1313.0</v>
      </c>
      <c r="I70" s="107">
        <v>2414.0</v>
      </c>
      <c r="J70" s="114">
        <v>1273.0</v>
      </c>
      <c r="K70" s="114">
        <v>1273.0</v>
      </c>
      <c r="L70" s="107">
        <v>2546.0</v>
      </c>
      <c r="M70" s="102"/>
      <c r="N70" s="106" t="s">
        <v>400</v>
      </c>
      <c r="O70" s="107">
        <f t="shared" si="1"/>
        <v>20889</v>
      </c>
    </row>
    <row r="71">
      <c r="C71" s="113" t="s">
        <v>436</v>
      </c>
      <c r="D71" s="107">
        <v>662.0</v>
      </c>
      <c r="E71" s="107">
        <v>653.0</v>
      </c>
      <c r="F71" s="107">
        <v>1315.0</v>
      </c>
      <c r="G71" s="107">
        <v>443.0</v>
      </c>
      <c r="H71" s="107">
        <v>580.0</v>
      </c>
      <c r="I71" s="107">
        <v>1023.0</v>
      </c>
      <c r="J71" s="107">
        <v>320.0</v>
      </c>
      <c r="K71" s="107">
        <v>418.0</v>
      </c>
      <c r="L71" s="107">
        <v>738.0</v>
      </c>
      <c r="M71" s="102"/>
      <c r="N71" s="106" t="s">
        <v>401</v>
      </c>
      <c r="O71" s="107">
        <f t="shared" si="1"/>
        <v>16629</v>
      </c>
    </row>
    <row r="72">
      <c r="C72" s="113" t="s">
        <v>438</v>
      </c>
      <c r="D72" s="114">
        <v>1187.0</v>
      </c>
      <c r="E72" s="114">
        <v>1159.0</v>
      </c>
      <c r="F72" s="107">
        <v>2346.0</v>
      </c>
      <c r="G72" s="114">
        <v>1142.0</v>
      </c>
      <c r="H72" s="107">
        <v>944.0</v>
      </c>
      <c r="I72" s="107">
        <v>2086.0</v>
      </c>
      <c r="J72" s="107">
        <v>856.0</v>
      </c>
      <c r="K72" s="114">
        <v>1063.0</v>
      </c>
      <c r="L72" s="107">
        <v>1919.0</v>
      </c>
      <c r="M72" s="102"/>
      <c r="N72" s="106" t="s">
        <v>402</v>
      </c>
      <c r="O72" s="107">
        <f t="shared" si="1"/>
        <v>10375</v>
      </c>
    </row>
    <row r="73">
      <c r="C73" s="113" t="s">
        <v>440</v>
      </c>
      <c r="D73" s="114">
        <v>3611.0</v>
      </c>
      <c r="E73" s="114">
        <v>3388.0</v>
      </c>
      <c r="F73" s="107">
        <v>6999.0</v>
      </c>
      <c r="G73" s="114">
        <v>2908.0</v>
      </c>
      <c r="H73" s="114">
        <v>2939.0</v>
      </c>
      <c r="I73" s="107">
        <v>5847.0</v>
      </c>
      <c r="J73" s="114">
        <v>2426.0</v>
      </c>
      <c r="K73" s="114">
        <v>2588.0</v>
      </c>
      <c r="L73" s="107">
        <v>5014.0</v>
      </c>
      <c r="M73" s="102"/>
      <c r="N73" s="106" t="s">
        <v>403</v>
      </c>
      <c r="O73" s="107">
        <f t="shared" si="1"/>
        <v>24752</v>
      </c>
    </row>
    <row r="74">
      <c r="C74" s="113" t="s">
        <v>442</v>
      </c>
      <c r="D74" s="114">
        <v>1460.0</v>
      </c>
      <c r="E74" s="114">
        <v>1447.0</v>
      </c>
      <c r="F74" s="107">
        <v>2907.0</v>
      </c>
      <c r="G74" s="114">
        <v>1336.0</v>
      </c>
      <c r="H74" s="114">
        <v>1422.0</v>
      </c>
      <c r="I74" s="107">
        <v>2758.0</v>
      </c>
      <c r="J74" s="114">
        <v>1525.0</v>
      </c>
      <c r="K74" s="114">
        <v>1192.0</v>
      </c>
      <c r="L74" s="107">
        <v>2717.0</v>
      </c>
      <c r="M74" s="102"/>
      <c r="N74" s="106" t="s">
        <v>404</v>
      </c>
      <c r="O74" s="107">
        <f t="shared" si="1"/>
        <v>14523</v>
      </c>
    </row>
    <row r="75">
      <c r="C75" s="113" t="s">
        <v>444</v>
      </c>
      <c r="D75" s="114">
        <v>1677.0</v>
      </c>
      <c r="E75" s="114">
        <v>2029.0</v>
      </c>
      <c r="F75" s="107">
        <v>3706.0</v>
      </c>
      <c r="G75" s="114">
        <v>1448.0</v>
      </c>
      <c r="H75" s="114">
        <v>1789.0</v>
      </c>
      <c r="I75" s="107">
        <v>3237.0</v>
      </c>
      <c r="J75" s="114">
        <v>1358.0</v>
      </c>
      <c r="K75" s="114">
        <v>1276.0</v>
      </c>
      <c r="L75" s="107">
        <v>2634.0</v>
      </c>
      <c r="M75" s="102"/>
      <c r="N75" s="106" t="s">
        <v>405</v>
      </c>
      <c r="O75" s="107">
        <f t="shared" si="1"/>
        <v>11513</v>
      </c>
    </row>
    <row r="76">
      <c r="C76" s="113" t="s">
        <v>446</v>
      </c>
      <c r="D76" s="114">
        <v>1282.0</v>
      </c>
      <c r="E76" s="114">
        <v>1215.0</v>
      </c>
      <c r="F76" s="107">
        <v>2497.0</v>
      </c>
      <c r="G76" s="114">
        <v>1184.0</v>
      </c>
      <c r="H76" s="107">
        <v>736.0</v>
      </c>
      <c r="I76" s="107">
        <v>1920.0</v>
      </c>
      <c r="J76" s="114">
        <v>1005.0</v>
      </c>
      <c r="K76" s="107">
        <v>696.0</v>
      </c>
      <c r="L76" s="107">
        <v>1701.0</v>
      </c>
      <c r="M76" s="102"/>
      <c r="N76" s="106" t="s">
        <v>407</v>
      </c>
      <c r="O76" s="107">
        <f t="shared" si="1"/>
        <v>11110</v>
      </c>
    </row>
    <row r="77">
      <c r="C77" s="113" t="s">
        <v>448</v>
      </c>
      <c r="D77" s="114">
        <v>2339.0</v>
      </c>
      <c r="E77" s="114">
        <v>2112.0</v>
      </c>
      <c r="F77" s="107">
        <v>4451.0</v>
      </c>
      <c r="G77" s="114">
        <v>2057.0</v>
      </c>
      <c r="H77" s="114">
        <v>1896.0</v>
      </c>
      <c r="I77" s="107">
        <v>3953.0</v>
      </c>
      <c r="J77" s="114">
        <v>1170.0</v>
      </c>
      <c r="K77" s="114">
        <v>1427.0</v>
      </c>
      <c r="L77" s="107">
        <v>2597.0</v>
      </c>
      <c r="M77" s="102"/>
      <c r="N77" s="106" t="s">
        <v>409</v>
      </c>
      <c r="O77" s="107">
        <f t="shared" si="1"/>
        <v>7279</v>
      </c>
    </row>
    <row r="78">
      <c r="A78" s="101">
        <v>803.0</v>
      </c>
      <c r="B78" s="108" t="s">
        <v>29</v>
      </c>
      <c r="C78" s="109"/>
      <c r="D78" s="110">
        <v>19080.0</v>
      </c>
      <c r="E78" s="110">
        <v>19177.0</v>
      </c>
      <c r="F78" s="111">
        <v>38257.0</v>
      </c>
      <c r="G78" s="110">
        <v>14933.0</v>
      </c>
      <c r="H78" s="110">
        <v>15020.0</v>
      </c>
      <c r="I78" s="111">
        <v>29953.0</v>
      </c>
      <c r="J78" s="110">
        <v>12784.0</v>
      </c>
      <c r="K78" s="110">
        <v>12878.0</v>
      </c>
      <c r="L78" s="111">
        <v>25662.0</v>
      </c>
      <c r="M78" s="102"/>
      <c r="N78" s="106" t="s">
        <v>411</v>
      </c>
      <c r="O78" s="107">
        <f t="shared" si="1"/>
        <v>49462</v>
      </c>
    </row>
    <row r="79">
      <c r="B79" s="101">
        <v>803.0</v>
      </c>
      <c r="C79" s="112" t="s">
        <v>29</v>
      </c>
      <c r="D79" s="110">
        <v>19080.0</v>
      </c>
      <c r="E79" s="110">
        <v>19177.0</v>
      </c>
      <c r="F79" s="111">
        <v>38257.0</v>
      </c>
      <c r="G79" s="110">
        <v>14933.0</v>
      </c>
      <c r="H79" s="110">
        <v>15020.0</v>
      </c>
      <c r="I79" s="111">
        <v>29953.0</v>
      </c>
      <c r="J79" s="110">
        <v>12784.0</v>
      </c>
      <c r="K79" s="110">
        <v>12878.0</v>
      </c>
      <c r="L79" s="111">
        <v>25662.0</v>
      </c>
      <c r="M79" s="102"/>
      <c r="N79" s="106" t="s">
        <v>406</v>
      </c>
      <c r="O79" s="107">
        <f t="shared" si="1"/>
        <v>56207</v>
      </c>
    </row>
    <row r="80">
      <c r="C80" s="113" t="s">
        <v>406</v>
      </c>
      <c r="D80" s="114">
        <v>2036.0</v>
      </c>
      <c r="E80" s="114">
        <v>1476.0</v>
      </c>
      <c r="F80" s="107">
        <v>3512.0</v>
      </c>
      <c r="G80" s="114">
        <v>1365.0</v>
      </c>
      <c r="H80" s="107">
        <v>895.0</v>
      </c>
      <c r="I80" s="107">
        <v>2260.0</v>
      </c>
      <c r="J80" s="114">
        <v>1191.0</v>
      </c>
      <c r="K80" s="107">
        <v>711.0</v>
      </c>
      <c r="L80" s="107">
        <v>1902.0</v>
      </c>
      <c r="M80" s="102"/>
      <c r="N80" s="106" t="s">
        <v>408</v>
      </c>
      <c r="O80" s="107">
        <f t="shared" si="1"/>
        <v>30343</v>
      </c>
    </row>
    <row r="81">
      <c r="C81" s="113" t="s">
        <v>408</v>
      </c>
      <c r="D81" s="114">
        <v>1099.0</v>
      </c>
      <c r="E81" s="114">
        <v>1174.0</v>
      </c>
      <c r="F81" s="107">
        <v>2273.0</v>
      </c>
      <c r="G81" s="107">
        <v>785.0</v>
      </c>
      <c r="H81" s="107">
        <v>850.0</v>
      </c>
      <c r="I81" s="107">
        <v>1635.0</v>
      </c>
      <c r="J81" s="107">
        <v>605.0</v>
      </c>
      <c r="K81" s="107">
        <v>668.0</v>
      </c>
      <c r="L81" s="107">
        <v>1273.0</v>
      </c>
      <c r="M81" s="102"/>
      <c r="N81" s="106" t="s">
        <v>410</v>
      </c>
      <c r="O81" s="107">
        <f t="shared" si="1"/>
        <v>32174</v>
      </c>
    </row>
    <row r="82">
      <c r="C82" s="113" t="s">
        <v>410</v>
      </c>
      <c r="D82" s="114">
        <v>1148.0</v>
      </c>
      <c r="E82" s="114">
        <v>1187.0</v>
      </c>
      <c r="F82" s="107">
        <v>2335.0</v>
      </c>
      <c r="G82" s="107">
        <v>892.0</v>
      </c>
      <c r="H82" s="107">
        <v>878.0</v>
      </c>
      <c r="I82" s="107">
        <v>1770.0</v>
      </c>
      <c r="J82" s="107">
        <v>670.0</v>
      </c>
      <c r="K82" s="107">
        <v>729.0</v>
      </c>
      <c r="L82" s="107">
        <v>1399.0</v>
      </c>
      <c r="M82" s="102"/>
      <c r="N82" s="106" t="s">
        <v>412</v>
      </c>
      <c r="O82" s="107">
        <f t="shared" si="1"/>
        <v>102503</v>
      </c>
    </row>
    <row r="83">
      <c r="C83" s="113" t="s">
        <v>412</v>
      </c>
      <c r="D83" s="114">
        <v>3583.0</v>
      </c>
      <c r="E83" s="114">
        <v>4282.0</v>
      </c>
      <c r="F83" s="107">
        <v>7865.0</v>
      </c>
      <c r="G83" s="114">
        <v>2883.0</v>
      </c>
      <c r="H83" s="114">
        <v>3306.0</v>
      </c>
      <c r="I83" s="107">
        <v>6189.0</v>
      </c>
      <c r="J83" s="114">
        <v>2429.0</v>
      </c>
      <c r="K83" s="114">
        <v>3023.0</v>
      </c>
      <c r="L83" s="107">
        <v>5452.0</v>
      </c>
      <c r="M83" s="102"/>
      <c r="N83" s="106" t="s">
        <v>413</v>
      </c>
      <c r="O83" s="107">
        <f t="shared" si="1"/>
        <v>32774</v>
      </c>
    </row>
    <row r="84">
      <c r="C84" s="113" t="s">
        <v>413</v>
      </c>
      <c r="D84" s="114">
        <v>1164.0</v>
      </c>
      <c r="E84" s="114">
        <v>1196.0</v>
      </c>
      <c r="F84" s="107">
        <v>2360.0</v>
      </c>
      <c r="G84" s="107">
        <v>879.0</v>
      </c>
      <c r="H84" s="107">
        <v>861.0</v>
      </c>
      <c r="I84" s="107">
        <v>1740.0</v>
      </c>
      <c r="J84" s="107">
        <v>730.0</v>
      </c>
      <c r="K84" s="107">
        <v>754.0</v>
      </c>
      <c r="L84" s="107">
        <v>1484.0</v>
      </c>
      <c r="M84" s="102"/>
      <c r="N84" s="106" t="s">
        <v>414</v>
      </c>
      <c r="O84" s="107">
        <f t="shared" si="1"/>
        <v>49278</v>
      </c>
    </row>
    <row r="85">
      <c r="C85" s="113" t="s">
        <v>414</v>
      </c>
      <c r="D85" s="114">
        <v>1759.0</v>
      </c>
      <c r="E85" s="114">
        <v>1747.0</v>
      </c>
      <c r="F85" s="107">
        <v>3506.0</v>
      </c>
      <c r="G85" s="114">
        <v>1260.0</v>
      </c>
      <c r="H85" s="114">
        <v>1346.0</v>
      </c>
      <c r="I85" s="107">
        <v>2606.0</v>
      </c>
      <c r="J85" s="114">
        <v>1108.0</v>
      </c>
      <c r="K85" s="114">
        <v>1131.0</v>
      </c>
      <c r="L85" s="107">
        <v>2239.0</v>
      </c>
      <c r="M85" s="102"/>
      <c r="N85" s="106" t="s">
        <v>415</v>
      </c>
      <c r="O85" s="107">
        <f t="shared" si="1"/>
        <v>40993</v>
      </c>
    </row>
    <row r="86">
      <c r="C86" s="113" t="s">
        <v>415</v>
      </c>
      <c r="D86" s="114">
        <v>1435.0</v>
      </c>
      <c r="E86" s="114">
        <v>1432.0</v>
      </c>
      <c r="F86" s="107">
        <v>2867.0</v>
      </c>
      <c r="G86" s="114">
        <v>1132.0</v>
      </c>
      <c r="H86" s="114">
        <v>1085.0</v>
      </c>
      <c r="I86" s="107">
        <v>2217.0</v>
      </c>
      <c r="J86" s="107">
        <v>979.0</v>
      </c>
      <c r="K86" s="107">
        <v>910.0</v>
      </c>
      <c r="L86" s="107">
        <v>1889.0</v>
      </c>
      <c r="M86" s="102"/>
      <c r="N86" s="106" t="s">
        <v>416</v>
      </c>
      <c r="O86" s="107">
        <f t="shared" si="1"/>
        <v>36339</v>
      </c>
    </row>
    <row r="87">
      <c r="C87" s="113" t="s">
        <v>416</v>
      </c>
      <c r="D87" s="114">
        <v>1267.0</v>
      </c>
      <c r="E87" s="114">
        <v>1313.0</v>
      </c>
      <c r="F87" s="107">
        <v>2580.0</v>
      </c>
      <c r="G87" s="114">
        <v>1035.0</v>
      </c>
      <c r="H87" s="114">
        <v>1079.0</v>
      </c>
      <c r="I87" s="107">
        <v>2114.0</v>
      </c>
      <c r="J87" s="107">
        <v>865.0</v>
      </c>
      <c r="K87" s="107">
        <v>837.0</v>
      </c>
      <c r="L87" s="107">
        <v>1702.0</v>
      </c>
      <c r="M87" s="102"/>
      <c r="N87" s="106" t="s">
        <v>417</v>
      </c>
      <c r="O87" s="107">
        <f t="shared" si="1"/>
        <v>38327</v>
      </c>
    </row>
    <row r="88">
      <c r="C88" s="113" t="s">
        <v>417</v>
      </c>
      <c r="D88" s="114">
        <v>1322.0</v>
      </c>
      <c r="E88" s="114">
        <v>1242.0</v>
      </c>
      <c r="F88" s="107">
        <v>2564.0</v>
      </c>
      <c r="G88" s="114">
        <v>1172.0</v>
      </c>
      <c r="H88" s="114">
        <v>1125.0</v>
      </c>
      <c r="I88" s="107">
        <v>2297.0</v>
      </c>
      <c r="J88" s="107">
        <v>911.0</v>
      </c>
      <c r="K88" s="107">
        <v>871.0</v>
      </c>
      <c r="L88" s="107">
        <v>1782.0</v>
      </c>
      <c r="M88" s="102"/>
      <c r="N88" s="106" t="s">
        <v>418</v>
      </c>
      <c r="O88" s="107">
        <f t="shared" si="1"/>
        <v>29954</v>
      </c>
    </row>
    <row r="89">
      <c r="C89" s="113" t="s">
        <v>418</v>
      </c>
      <c r="D89" s="114">
        <v>1055.0</v>
      </c>
      <c r="E89" s="114">
        <v>1074.0</v>
      </c>
      <c r="F89" s="107">
        <v>2129.0</v>
      </c>
      <c r="G89" s="107">
        <v>811.0</v>
      </c>
      <c r="H89" s="107">
        <v>870.0</v>
      </c>
      <c r="I89" s="107">
        <v>1681.0</v>
      </c>
      <c r="J89" s="107">
        <v>700.0</v>
      </c>
      <c r="K89" s="107">
        <v>802.0</v>
      </c>
      <c r="L89" s="107">
        <v>1502.0</v>
      </c>
      <c r="M89" s="102"/>
      <c r="N89" s="106" t="s">
        <v>419</v>
      </c>
      <c r="O89" s="107">
        <f t="shared" si="1"/>
        <v>30703</v>
      </c>
    </row>
    <row r="90">
      <c r="C90" s="113" t="s">
        <v>419</v>
      </c>
      <c r="D90" s="114">
        <v>1101.0</v>
      </c>
      <c r="E90" s="114">
        <v>1049.0</v>
      </c>
      <c r="F90" s="107">
        <v>2150.0</v>
      </c>
      <c r="G90" s="107">
        <v>779.0</v>
      </c>
      <c r="H90" s="107">
        <v>751.0</v>
      </c>
      <c r="I90" s="107">
        <v>1530.0</v>
      </c>
      <c r="J90" s="107">
        <v>673.0</v>
      </c>
      <c r="K90" s="107">
        <v>602.0</v>
      </c>
      <c r="L90" s="107">
        <v>1275.0</v>
      </c>
      <c r="M90" s="102"/>
      <c r="N90" s="106" t="s">
        <v>421</v>
      </c>
      <c r="O90" s="107">
        <f t="shared" si="1"/>
        <v>63817</v>
      </c>
    </row>
    <row r="91">
      <c r="C91" s="113" t="s">
        <v>421</v>
      </c>
      <c r="D91" s="114">
        <v>2111.0</v>
      </c>
      <c r="E91" s="114">
        <v>2005.0</v>
      </c>
      <c r="F91" s="107">
        <v>4116.0</v>
      </c>
      <c r="G91" s="114">
        <v>1940.0</v>
      </c>
      <c r="H91" s="114">
        <v>1974.0</v>
      </c>
      <c r="I91" s="107">
        <v>3914.0</v>
      </c>
      <c r="J91" s="114">
        <v>1923.0</v>
      </c>
      <c r="K91" s="114">
        <v>1840.0</v>
      </c>
      <c r="L91" s="107">
        <v>3763.0</v>
      </c>
      <c r="M91" s="102"/>
      <c r="N91" s="106" t="s">
        <v>420</v>
      </c>
      <c r="O91" s="107">
        <f t="shared" si="1"/>
        <v>101963</v>
      </c>
    </row>
    <row r="92">
      <c r="A92" s="101">
        <v>804.0</v>
      </c>
      <c r="B92" s="108" t="s">
        <v>29</v>
      </c>
      <c r="C92" s="109"/>
      <c r="D92" s="110">
        <v>47840.0</v>
      </c>
      <c r="E92" s="110">
        <v>48012.0</v>
      </c>
      <c r="F92" s="111">
        <v>95852.0</v>
      </c>
      <c r="G92" s="110">
        <v>39282.0</v>
      </c>
      <c r="H92" s="110">
        <v>39347.0</v>
      </c>
      <c r="I92" s="111">
        <v>78629.0</v>
      </c>
      <c r="J92" s="110">
        <v>30223.0</v>
      </c>
      <c r="K92" s="110">
        <v>30293.0</v>
      </c>
      <c r="L92" s="111">
        <v>60516.0</v>
      </c>
      <c r="M92" s="102"/>
      <c r="N92" s="106" t="s">
        <v>422</v>
      </c>
      <c r="O92" s="107">
        <f t="shared" si="1"/>
        <v>38533</v>
      </c>
    </row>
    <row r="93">
      <c r="B93" s="101">
        <v>804.0</v>
      </c>
      <c r="C93" s="112" t="s">
        <v>29</v>
      </c>
      <c r="D93" s="110">
        <v>47840.0</v>
      </c>
      <c r="E93" s="110">
        <v>48012.0</v>
      </c>
      <c r="F93" s="111">
        <v>95852.0</v>
      </c>
      <c r="G93" s="110">
        <v>39282.0</v>
      </c>
      <c r="H93" s="110">
        <v>39347.0</v>
      </c>
      <c r="I93" s="111">
        <v>78629.0</v>
      </c>
      <c r="J93" s="110">
        <v>30223.0</v>
      </c>
      <c r="K93" s="110">
        <v>30293.0</v>
      </c>
      <c r="L93" s="111">
        <v>60516.0</v>
      </c>
      <c r="M93" s="102"/>
      <c r="N93" s="106" t="s">
        <v>423</v>
      </c>
      <c r="O93" s="107">
        <f t="shared" si="1"/>
        <v>84566</v>
      </c>
    </row>
    <row r="94">
      <c r="C94" s="113" t="s">
        <v>332</v>
      </c>
      <c r="D94" s="114">
        <v>4592.0</v>
      </c>
      <c r="E94" s="114">
        <v>3710.0</v>
      </c>
      <c r="F94" s="107">
        <v>8302.0</v>
      </c>
      <c r="G94" s="114">
        <v>4812.0</v>
      </c>
      <c r="H94" s="114">
        <v>3961.0</v>
      </c>
      <c r="I94" s="107">
        <v>8773.0</v>
      </c>
      <c r="J94" s="114">
        <v>3738.0</v>
      </c>
      <c r="K94" s="114">
        <v>3235.0</v>
      </c>
      <c r="L94" s="107">
        <v>6973.0</v>
      </c>
      <c r="M94" s="102"/>
      <c r="N94" s="106" t="s">
        <v>424</v>
      </c>
      <c r="O94" s="107">
        <f t="shared" si="1"/>
        <v>242832</v>
      </c>
    </row>
    <row r="95">
      <c r="C95" s="113" t="s">
        <v>333</v>
      </c>
      <c r="D95" s="114">
        <v>1466.0</v>
      </c>
      <c r="E95" s="114">
        <v>1422.0</v>
      </c>
      <c r="F95" s="107">
        <v>2888.0</v>
      </c>
      <c r="G95" s="107">
        <v>837.0</v>
      </c>
      <c r="H95" s="107">
        <v>794.0</v>
      </c>
      <c r="I95" s="107">
        <v>1631.0</v>
      </c>
      <c r="J95" s="107">
        <v>670.0</v>
      </c>
      <c r="K95" s="107">
        <v>631.0</v>
      </c>
      <c r="L95" s="107">
        <v>1301.0</v>
      </c>
      <c r="M95" s="102"/>
      <c r="N95" s="106" t="s">
        <v>425</v>
      </c>
      <c r="O95" s="107">
        <f t="shared" si="1"/>
        <v>95580</v>
      </c>
    </row>
    <row r="96">
      <c r="C96" s="113" t="s">
        <v>334</v>
      </c>
      <c r="D96" s="107">
        <v>974.0</v>
      </c>
      <c r="E96" s="107">
        <v>957.0</v>
      </c>
      <c r="F96" s="107">
        <v>1931.0</v>
      </c>
      <c r="G96" s="107">
        <v>495.0</v>
      </c>
      <c r="H96" s="107">
        <v>513.0</v>
      </c>
      <c r="I96" s="107">
        <v>1008.0</v>
      </c>
      <c r="J96" s="107">
        <v>411.0</v>
      </c>
      <c r="K96" s="107">
        <v>375.0</v>
      </c>
      <c r="L96" s="107">
        <v>786.0</v>
      </c>
      <c r="M96" s="102"/>
      <c r="N96" s="106" t="s">
        <v>426</v>
      </c>
      <c r="O96" s="107">
        <f t="shared" si="1"/>
        <v>104273</v>
      </c>
    </row>
    <row r="97">
      <c r="C97" s="113" t="s">
        <v>335</v>
      </c>
      <c r="D97" s="114">
        <v>1440.0</v>
      </c>
      <c r="E97" s="114">
        <v>1351.0</v>
      </c>
      <c r="F97" s="107">
        <v>2791.0</v>
      </c>
      <c r="G97" s="107">
        <v>785.0</v>
      </c>
      <c r="H97" s="107">
        <v>777.0</v>
      </c>
      <c r="I97" s="107">
        <v>1562.0</v>
      </c>
      <c r="J97" s="107">
        <v>622.0</v>
      </c>
      <c r="K97" s="107">
        <v>585.0</v>
      </c>
      <c r="L97" s="107">
        <v>1207.0</v>
      </c>
      <c r="M97" s="102"/>
      <c r="N97" s="106" t="s">
        <v>427</v>
      </c>
      <c r="O97" s="107">
        <f t="shared" si="1"/>
        <v>59626</v>
      </c>
    </row>
    <row r="98">
      <c r="C98" s="113" t="s">
        <v>336</v>
      </c>
      <c r="D98" s="114">
        <v>1640.0</v>
      </c>
      <c r="E98" s="114">
        <v>1556.0</v>
      </c>
      <c r="F98" s="107">
        <v>3196.0</v>
      </c>
      <c r="G98" s="114">
        <v>1104.0</v>
      </c>
      <c r="H98" s="114">
        <v>1032.0</v>
      </c>
      <c r="I98" s="107">
        <v>2136.0</v>
      </c>
      <c r="J98" s="107">
        <v>841.0</v>
      </c>
      <c r="K98" s="107">
        <v>750.0</v>
      </c>
      <c r="L98" s="107">
        <v>1591.0</v>
      </c>
      <c r="M98" s="102"/>
      <c r="N98" s="106" t="s">
        <v>428</v>
      </c>
      <c r="O98" s="107">
        <f t="shared" si="1"/>
        <v>71477</v>
      </c>
    </row>
    <row r="99">
      <c r="C99" s="113" t="s">
        <v>337</v>
      </c>
      <c r="D99" s="114">
        <v>1127.0</v>
      </c>
      <c r="E99" s="114">
        <v>1247.0</v>
      </c>
      <c r="F99" s="107">
        <v>2374.0</v>
      </c>
      <c r="G99" s="107">
        <v>701.0</v>
      </c>
      <c r="H99" s="107">
        <v>766.0</v>
      </c>
      <c r="I99" s="107">
        <v>1467.0</v>
      </c>
      <c r="J99" s="107">
        <v>447.0</v>
      </c>
      <c r="K99" s="107">
        <v>480.0</v>
      </c>
      <c r="L99" s="107">
        <v>927.0</v>
      </c>
      <c r="M99" s="102"/>
      <c r="N99" s="106" t="s">
        <v>429</v>
      </c>
      <c r="O99" s="107">
        <f t="shared" si="1"/>
        <v>64271</v>
      </c>
    </row>
    <row r="100">
      <c r="C100" s="113" t="s">
        <v>338</v>
      </c>
      <c r="D100" s="107">
        <v>915.0</v>
      </c>
      <c r="E100" s="107">
        <v>889.0</v>
      </c>
      <c r="F100" s="107">
        <v>1804.0</v>
      </c>
      <c r="G100" s="107">
        <v>664.0</v>
      </c>
      <c r="H100" s="107">
        <v>605.0</v>
      </c>
      <c r="I100" s="107">
        <v>1269.0</v>
      </c>
      <c r="J100" s="107">
        <v>484.0</v>
      </c>
      <c r="K100" s="107">
        <v>482.0</v>
      </c>
      <c r="L100" s="107">
        <v>966.0</v>
      </c>
      <c r="M100" s="102"/>
      <c r="N100" s="106" t="s">
        <v>430</v>
      </c>
      <c r="O100" s="107">
        <f t="shared" si="1"/>
        <v>70158</v>
      </c>
    </row>
    <row r="101">
      <c r="C101" s="113" t="s">
        <v>339</v>
      </c>
      <c r="D101" s="114">
        <v>1926.0</v>
      </c>
      <c r="E101" s="114">
        <v>2012.0</v>
      </c>
      <c r="F101" s="107">
        <v>3938.0</v>
      </c>
      <c r="G101" s="114">
        <v>1479.0</v>
      </c>
      <c r="H101" s="114">
        <v>1468.0</v>
      </c>
      <c r="I101" s="107">
        <v>2947.0</v>
      </c>
      <c r="J101" s="114">
        <v>1073.0</v>
      </c>
      <c r="K101" s="114">
        <v>1081.0</v>
      </c>
      <c r="L101" s="107">
        <v>2154.0</v>
      </c>
      <c r="M101" s="102"/>
      <c r="N101" s="106" t="s">
        <v>431</v>
      </c>
      <c r="O101" s="107">
        <f t="shared" si="1"/>
        <v>77560</v>
      </c>
    </row>
    <row r="102">
      <c r="C102" s="113" t="s">
        <v>340</v>
      </c>
      <c r="D102" s="114">
        <v>1425.0</v>
      </c>
      <c r="E102" s="114">
        <v>1525.0</v>
      </c>
      <c r="F102" s="107">
        <v>2950.0</v>
      </c>
      <c r="G102" s="114">
        <v>1150.0</v>
      </c>
      <c r="H102" s="114">
        <v>1115.0</v>
      </c>
      <c r="I102" s="107">
        <v>2265.0</v>
      </c>
      <c r="J102" s="107">
        <v>881.0</v>
      </c>
      <c r="K102" s="107">
        <v>839.0</v>
      </c>
      <c r="L102" s="107">
        <v>1720.0</v>
      </c>
      <c r="M102" s="102"/>
      <c r="N102" s="106" t="s">
        <v>432</v>
      </c>
      <c r="O102" s="107">
        <f t="shared" si="1"/>
        <v>105456</v>
      </c>
    </row>
    <row r="103">
      <c r="C103" s="113" t="s">
        <v>341</v>
      </c>
      <c r="D103" s="114">
        <v>1454.0</v>
      </c>
      <c r="E103" s="114">
        <v>1485.0</v>
      </c>
      <c r="F103" s="107">
        <v>2939.0</v>
      </c>
      <c r="G103" s="114">
        <v>1145.0</v>
      </c>
      <c r="H103" s="114">
        <v>1149.0</v>
      </c>
      <c r="I103" s="107">
        <v>2294.0</v>
      </c>
      <c r="J103" s="107">
        <v>879.0</v>
      </c>
      <c r="K103" s="107">
        <v>819.0</v>
      </c>
      <c r="L103" s="107">
        <v>1698.0</v>
      </c>
      <c r="M103" s="102"/>
      <c r="N103" s="106" t="s">
        <v>433</v>
      </c>
      <c r="O103" s="107">
        <f t="shared" si="1"/>
        <v>90642</v>
      </c>
    </row>
    <row r="104">
      <c r="C104" s="113" t="s">
        <v>342</v>
      </c>
      <c r="D104" s="107">
        <v>832.0</v>
      </c>
      <c r="E104" s="107">
        <v>816.0</v>
      </c>
      <c r="F104" s="107">
        <v>1648.0</v>
      </c>
      <c r="G104" s="107">
        <v>543.0</v>
      </c>
      <c r="H104" s="107">
        <v>498.0</v>
      </c>
      <c r="I104" s="107">
        <v>1041.0</v>
      </c>
      <c r="J104" s="107">
        <v>428.0</v>
      </c>
      <c r="K104" s="107">
        <v>425.0</v>
      </c>
      <c r="L104" s="107">
        <v>853.0</v>
      </c>
      <c r="M104" s="102"/>
      <c r="N104" s="106" t="s">
        <v>434</v>
      </c>
      <c r="O104" s="107">
        <f t="shared" si="1"/>
        <v>175393</v>
      </c>
    </row>
    <row r="105">
      <c r="C105" s="113" t="s">
        <v>343</v>
      </c>
      <c r="D105" s="114">
        <v>2724.0</v>
      </c>
      <c r="E105" s="114">
        <v>2763.0</v>
      </c>
      <c r="F105" s="107">
        <v>5487.0</v>
      </c>
      <c r="G105" s="114">
        <v>2244.0</v>
      </c>
      <c r="H105" s="114">
        <v>2179.0</v>
      </c>
      <c r="I105" s="107">
        <v>4423.0</v>
      </c>
      <c r="J105" s="114">
        <v>1855.0</v>
      </c>
      <c r="K105" s="114">
        <v>1767.0</v>
      </c>
      <c r="L105" s="107">
        <v>3622.0</v>
      </c>
      <c r="M105" s="102"/>
      <c r="N105" s="106" t="s">
        <v>435</v>
      </c>
      <c r="O105" s="107">
        <f t="shared" si="1"/>
        <v>59257</v>
      </c>
    </row>
    <row r="106">
      <c r="C106" s="113" t="s">
        <v>344</v>
      </c>
      <c r="D106" s="114">
        <v>2626.0</v>
      </c>
      <c r="E106" s="114">
        <v>2540.0</v>
      </c>
      <c r="F106" s="107">
        <v>5166.0</v>
      </c>
      <c r="G106" s="114">
        <v>1979.0</v>
      </c>
      <c r="H106" s="114">
        <v>1971.0</v>
      </c>
      <c r="I106" s="107">
        <v>3950.0</v>
      </c>
      <c r="J106" s="114">
        <v>1454.0</v>
      </c>
      <c r="K106" s="114">
        <v>1460.0</v>
      </c>
      <c r="L106" s="107">
        <v>2914.0</v>
      </c>
      <c r="M106" s="102"/>
      <c r="N106" s="106" t="s">
        <v>436</v>
      </c>
      <c r="O106" s="107">
        <f t="shared" si="1"/>
        <v>17936</v>
      </c>
    </row>
    <row r="107">
      <c r="C107" s="113" t="s">
        <v>345</v>
      </c>
      <c r="D107" s="114">
        <v>2536.0</v>
      </c>
      <c r="E107" s="114">
        <v>2420.0</v>
      </c>
      <c r="F107" s="107">
        <v>4956.0</v>
      </c>
      <c r="G107" s="114">
        <v>1900.0</v>
      </c>
      <c r="H107" s="114">
        <v>1754.0</v>
      </c>
      <c r="I107" s="107">
        <v>3654.0</v>
      </c>
      <c r="J107" s="114">
        <v>1423.0</v>
      </c>
      <c r="K107" s="114">
        <v>1315.0</v>
      </c>
      <c r="L107" s="107">
        <v>2738.0</v>
      </c>
      <c r="M107" s="102"/>
      <c r="N107" s="106" t="s">
        <v>438</v>
      </c>
      <c r="O107" s="107">
        <f t="shared" si="1"/>
        <v>34962</v>
      </c>
    </row>
    <row r="108">
      <c r="C108" s="113" t="s">
        <v>346</v>
      </c>
      <c r="D108" s="114">
        <v>1137.0</v>
      </c>
      <c r="E108" s="114">
        <v>1224.0</v>
      </c>
      <c r="F108" s="107">
        <v>2361.0</v>
      </c>
      <c r="G108" s="107">
        <v>809.0</v>
      </c>
      <c r="H108" s="107">
        <v>869.0</v>
      </c>
      <c r="I108" s="107">
        <v>1678.0</v>
      </c>
      <c r="J108" s="107">
        <v>547.0</v>
      </c>
      <c r="K108" s="107">
        <v>604.0</v>
      </c>
      <c r="L108" s="107">
        <v>1151.0</v>
      </c>
      <c r="M108" s="102"/>
      <c r="N108" s="106" t="s">
        <v>440</v>
      </c>
      <c r="O108" s="107">
        <f t="shared" si="1"/>
        <v>103204</v>
      </c>
    </row>
    <row r="109">
      <c r="C109" s="113" t="s">
        <v>347</v>
      </c>
      <c r="D109" s="114">
        <v>1173.0</v>
      </c>
      <c r="E109" s="114">
        <v>1128.0</v>
      </c>
      <c r="F109" s="107">
        <v>2301.0</v>
      </c>
      <c r="G109" s="114">
        <v>1135.0</v>
      </c>
      <c r="H109" s="114">
        <v>1105.0</v>
      </c>
      <c r="I109" s="107">
        <v>2240.0</v>
      </c>
      <c r="J109" s="107">
        <v>794.0</v>
      </c>
      <c r="K109" s="107">
        <v>827.0</v>
      </c>
      <c r="L109" s="107">
        <v>1621.0</v>
      </c>
      <c r="M109" s="102"/>
      <c r="N109" s="106" t="s">
        <v>442</v>
      </c>
      <c r="O109" s="107">
        <f t="shared" si="1"/>
        <v>45089</v>
      </c>
    </row>
    <row r="110">
      <c r="C110" s="113" t="s">
        <v>348</v>
      </c>
      <c r="D110" s="114">
        <v>1875.0</v>
      </c>
      <c r="E110" s="114">
        <v>1677.0</v>
      </c>
      <c r="F110" s="107">
        <v>3552.0</v>
      </c>
      <c r="G110" s="114">
        <v>1341.0</v>
      </c>
      <c r="H110" s="114">
        <v>1147.0</v>
      </c>
      <c r="I110" s="107">
        <v>2488.0</v>
      </c>
      <c r="J110" s="114">
        <v>1052.0</v>
      </c>
      <c r="K110" s="107">
        <v>927.0</v>
      </c>
      <c r="L110" s="107">
        <v>1979.0</v>
      </c>
      <c r="M110" s="102"/>
      <c r="N110" s="106" t="s">
        <v>444</v>
      </c>
      <c r="O110" s="107">
        <f t="shared" si="1"/>
        <v>49476</v>
      </c>
    </row>
    <row r="111">
      <c r="C111" s="113" t="s">
        <v>349</v>
      </c>
      <c r="D111" s="114">
        <v>2508.0</v>
      </c>
      <c r="E111" s="114">
        <v>2616.0</v>
      </c>
      <c r="F111" s="107">
        <v>5124.0</v>
      </c>
      <c r="G111" s="114">
        <v>2308.0</v>
      </c>
      <c r="H111" s="114">
        <v>2454.0</v>
      </c>
      <c r="I111" s="107">
        <v>4762.0</v>
      </c>
      <c r="J111" s="114">
        <v>1867.0</v>
      </c>
      <c r="K111" s="114">
        <v>1834.0</v>
      </c>
      <c r="L111" s="107">
        <v>3701.0</v>
      </c>
      <c r="M111" s="102"/>
      <c r="N111" s="106" t="s">
        <v>446</v>
      </c>
      <c r="O111" s="107">
        <f t="shared" si="1"/>
        <v>37965</v>
      </c>
    </row>
    <row r="112">
      <c r="C112" s="113" t="s">
        <v>350</v>
      </c>
      <c r="D112" s="114">
        <v>5602.0</v>
      </c>
      <c r="E112" s="114">
        <v>6044.0</v>
      </c>
      <c r="F112" s="107">
        <v>11646.0</v>
      </c>
      <c r="G112" s="114">
        <v>5010.0</v>
      </c>
      <c r="H112" s="114">
        <v>5277.0</v>
      </c>
      <c r="I112" s="107">
        <v>10287.0</v>
      </c>
      <c r="J112" s="114">
        <v>3800.0</v>
      </c>
      <c r="K112" s="114">
        <v>4059.0</v>
      </c>
      <c r="L112" s="107">
        <v>7859.0</v>
      </c>
      <c r="M112" s="102"/>
      <c r="N112" s="106" t="s">
        <v>448</v>
      </c>
      <c r="O112" s="107">
        <f t="shared" si="1"/>
        <v>65536</v>
      </c>
    </row>
    <row r="113">
      <c r="C113" s="113" t="s">
        <v>351</v>
      </c>
      <c r="D113" s="107">
        <v>828.0</v>
      </c>
      <c r="E113" s="107">
        <v>955.0</v>
      </c>
      <c r="F113" s="107">
        <v>1783.0</v>
      </c>
      <c r="G113" s="107">
        <v>728.0</v>
      </c>
      <c r="H113" s="107">
        <v>849.0</v>
      </c>
      <c r="I113" s="107">
        <v>1577.0</v>
      </c>
      <c r="J113" s="107">
        <v>571.0</v>
      </c>
      <c r="K113" s="107">
        <v>646.0</v>
      </c>
      <c r="L113" s="107">
        <v>1217.0</v>
      </c>
      <c r="M113" s="102"/>
      <c r="N113" s="106" t="s">
        <v>437</v>
      </c>
      <c r="O113" s="107">
        <f t="shared" si="1"/>
        <v>57587</v>
      </c>
    </row>
    <row r="114">
      <c r="C114" s="113" t="s">
        <v>352</v>
      </c>
      <c r="D114" s="107">
        <v>897.0</v>
      </c>
      <c r="E114" s="107">
        <v>978.0</v>
      </c>
      <c r="F114" s="107">
        <v>1875.0</v>
      </c>
      <c r="G114" s="107">
        <v>776.0</v>
      </c>
      <c r="H114" s="107">
        <v>825.0</v>
      </c>
      <c r="I114" s="107">
        <v>1601.0</v>
      </c>
      <c r="J114" s="107">
        <v>584.0</v>
      </c>
      <c r="K114" s="107">
        <v>652.0</v>
      </c>
      <c r="L114" s="107">
        <v>1236.0</v>
      </c>
      <c r="M114" s="102"/>
      <c r="N114" s="106" t="s">
        <v>439</v>
      </c>
      <c r="O114" s="107">
        <f t="shared" si="1"/>
        <v>9105</v>
      </c>
    </row>
    <row r="115">
      <c r="C115" s="113" t="s">
        <v>353</v>
      </c>
      <c r="D115" s="114">
        <v>2107.0</v>
      </c>
      <c r="E115" s="114">
        <v>2005.0</v>
      </c>
      <c r="F115" s="107">
        <v>4112.0</v>
      </c>
      <c r="G115" s="114">
        <v>2206.0</v>
      </c>
      <c r="H115" s="114">
        <v>2155.0</v>
      </c>
      <c r="I115" s="107">
        <v>4361.0</v>
      </c>
      <c r="J115" s="114">
        <v>1725.0</v>
      </c>
      <c r="K115" s="114">
        <v>1634.0</v>
      </c>
      <c r="L115" s="107">
        <v>3359.0</v>
      </c>
      <c r="M115" s="102"/>
      <c r="N115" s="106" t="s">
        <v>441</v>
      </c>
      <c r="O115" s="107">
        <f t="shared" si="1"/>
        <v>8234</v>
      </c>
    </row>
    <row r="116">
      <c r="C116" s="113" t="s">
        <v>354</v>
      </c>
      <c r="D116" s="107">
        <v>665.0</v>
      </c>
      <c r="E116" s="107">
        <v>631.0</v>
      </c>
      <c r="F116" s="107">
        <v>1296.0</v>
      </c>
      <c r="G116" s="107">
        <v>538.0</v>
      </c>
      <c r="H116" s="107">
        <v>514.0</v>
      </c>
      <c r="I116" s="107">
        <v>1052.0</v>
      </c>
      <c r="J116" s="107">
        <v>410.0</v>
      </c>
      <c r="K116" s="107">
        <v>386.0</v>
      </c>
      <c r="L116" s="107">
        <v>796.0</v>
      </c>
      <c r="M116" s="102"/>
      <c r="N116" s="106" t="s">
        <v>443</v>
      </c>
      <c r="O116" s="107">
        <f t="shared" si="1"/>
        <v>13389</v>
      </c>
    </row>
    <row r="117">
      <c r="C117" s="113" t="s">
        <v>355</v>
      </c>
      <c r="D117" s="107">
        <v>555.0</v>
      </c>
      <c r="E117" s="107">
        <v>583.0</v>
      </c>
      <c r="F117" s="107">
        <v>1138.0</v>
      </c>
      <c r="G117" s="107">
        <v>494.0</v>
      </c>
      <c r="H117" s="107">
        <v>507.0</v>
      </c>
      <c r="I117" s="107">
        <v>1001.0</v>
      </c>
      <c r="J117" s="107">
        <v>401.0</v>
      </c>
      <c r="K117" s="107">
        <v>430.0</v>
      </c>
      <c r="L117" s="107">
        <v>831.0</v>
      </c>
      <c r="M117" s="102"/>
      <c r="N117" s="106" t="s">
        <v>445</v>
      </c>
      <c r="O117" s="107">
        <f t="shared" si="1"/>
        <v>9068</v>
      </c>
    </row>
    <row r="118">
      <c r="C118" s="113" t="s">
        <v>356</v>
      </c>
      <c r="D118" s="114">
        <v>1246.0</v>
      </c>
      <c r="E118" s="114">
        <v>1228.0</v>
      </c>
      <c r="F118" s="107">
        <v>2474.0</v>
      </c>
      <c r="G118" s="114">
        <v>1058.0</v>
      </c>
      <c r="H118" s="107">
        <v>984.0</v>
      </c>
      <c r="I118" s="107">
        <v>2042.0</v>
      </c>
      <c r="J118" s="107">
        <v>797.0</v>
      </c>
      <c r="K118" s="107">
        <v>802.0</v>
      </c>
      <c r="L118" s="107">
        <v>1599.0</v>
      </c>
      <c r="M118" s="102"/>
      <c r="N118" s="106" t="s">
        <v>447</v>
      </c>
      <c r="O118" s="107">
        <f t="shared" si="1"/>
        <v>14415</v>
      </c>
    </row>
    <row r="119">
      <c r="C119" s="113" t="s">
        <v>357</v>
      </c>
      <c r="D119" s="107">
        <v>860.0</v>
      </c>
      <c r="E119" s="107">
        <v>852.0</v>
      </c>
      <c r="F119" s="107">
        <v>1712.0</v>
      </c>
      <c r="G119" s="107">
        <v>755.0</v>
      </c>
      <c r="H119" s="107">
        <v>760.0</v>
      </c>
      <c r="I119" s="107">
        <v>1515.0</v>
      </c>
      <c r="J119" s="107">
        <v>577.0</v>
      </c>
      <c r="K119" s="107">
        <v>599.0</v>
      </c>
      <c r="L119" s="107">
        <v>1176.0</v>
      </c>
      <c r="M119" s="102"/>
      <c r="N119" s="106" t="s">
        <v>449</v>
      </c>
      <c r="O119" s="107">
        <f t="shared" si="1"/>
        <v>10345</v>
      </c>
    </row>
    <row r="120">
      <c r="C120" s="113" t="s">
        <v>358</v>
      </c>
      <c r="D120" s="107">
        <v>358.0</v>
      </c>
      <c r="E120" s="107">
        <v>361.0</v>
      </c>
      <c r="F120" s="107">
        <v>719.0</v>
      </c>
      <c r="G120" s="107">
        <v>341.0</v>
      </c>
      <c r="H120" s="107">
        <v>349.0</v>
      </c>
      <c r="I120" s="107">
        <v>690.0</v>
      </c>
      <c r="J120" s="107">
        <v>239.0</v>
      </c>
      <c r="K120" s="107">
        <v>252.0</v>
      </c>
      <c r="L120" s="107">
        <v>491.0</v>
      </c>
      <c r="M120" s="102"/>
      <c r="N120" s="106" t="s">
        <v>450</v>
      </c>
      <c r="O120" s="107">
        <f t="shared" si="1"/>
        <v>33085</v>
      </c>
    </row>
    <row r="121">
      <c r="C121" s="113" t="s">
        <v>359</v>
      </c>
      <c r="D121" s="107">
        <v>455.0</v>
      </c>
      <c r="E121" s="107">
        <v>487.0</v>
      </c>
      <c r="F121" s="107">
        <v>942.0</v>
      </c>
      <c r="G121" s="107">
        <v>355.0</v>
      </c>
      <c r="H121" s="107">
        <v>407.0</v>
      </c>
      <c r="I121" s="107">
        <v>762.0</v>
      </c>
      <c r="J121" s="107">
        <v>272.0</v>
      </c>
      <c r="K121" s="107">
        <v>257.0</v>
      </c>
      <c r="L121" s="107">
        <v>529.0</v>
      </c>
      <c r="M121" s="102"/>
      <c r="N121" s="106" t="s">
        <v>451</v>
      </c>
      <c r="O121" s="107">
        <f t="shared" si="1"/>
        <v>23817</v>
      </c>
    </row>
    <row r="122">
      <c r="C122" s="113" t="s">
        <v>360</v>
      </c>
      <c r="D122" s="114">
        <v>1897.0</v>
      </c>
      <c r="E122" s="114">
        <v>2550.0</v>
      </c>
      <c r="F122" s="107">
        <v>4447.0</v>
      </c>
      <c r="G122" s="114">
        <v>1590.0</v>
      </c>
      <c r="H122" s="114">
        <v>2563.0</v>
      </c>
      <c r="I122" s="107">
        <v>4153.0</v>
      </c>
      <c r="J122" s="114">
        <v>1381.0</v>
      </c>
      <c r="K122" s="114">
        <v>2140.0</v>
      </c>
      <c r="L122" s="107">
        <v>3521.0</v>
      </c>
      <c r="M122" s="102"/>
      <c r="N122" s="106" t="s">
        <v>452</v>
      </c>
      <c r="O122" s="107">
        <f t="shared" si="1"/>
        <v>8462</v>
      </c>
    </row>
    <row r="123">
      <c r="A123" s="101">
        <v>807.0</v>
      </c>
      <c r="B123" s="108" t="s">
        <v>29</v>
      </c>
      <c r="C123" s="109"/>
      <c r="D123" s="110">
        <v>7847.0</v>
      </c>
      <c r="E123" s="110">
        <v>7875.0</v>
      </c>
      <c r="F123" s="111">
        <v>15722.0</v>
      </c>
      <c r="G123" s="110">
        <v>6658.0</v>
      </c>
      <c r="H123" s="110">
        <v>6698.0</v>
      </c>
      <c r="I123" s="111">
        <v>13356.0</v>
      </c>
      <c r="J123" s="110">
        <v>5710.0</v>
      </c>
      <c r="K123" s="110">
        <v>5759.0</v>
      </c>
      <c r="L123" s="111">
        <v>11469.0</v>
      </c>
      <c r="M123" s="102"/>
      <c r="N123" s="106" t="s">
        <v>453</v>
      </c>
      <c r="O123" s="107">
        <f t="shared" si="1"/>
        <v>8908</v>
      </c>
    </row>
    <row r="124">
      <c r="B124" s="101">
        <v>807.0</v>
      </c>
      <c r="C124" s="112" t="s">
        <v>29</v>
      </c>
      <c r="D124" s="110">
        <v>7847.0</v>
      </c>
      <c r="E124" s="110">
        <v>7875.0</v>
      </c>
      <c r="F124" s="111">
        <v>15722.0</v>
      </c>
      <c r="G124" s="110">
        <v>6658.0</v>
      </c>
      <c r="H124" s="110">
        <v>6698.0</v>
      </c>
      <c r="I124" s="111">
        <v>13356.0</v>
      </c>
      <c r="J124" s="110">
        <v>5710.0</v>
      </c>
      <c r="K124" s="110">
        <v>5759.0</v>
      </c>
      <c r="L124" s="111">
        <v>11469.0</v>
      </c>
      <c r="M124" s="102"/>
      <c r="N124" s="106" t="s">
        <v>454</v>
      </c>
      <c r="O124" s="107">
        <f t="shared" si="1"/>
        <v>8337</v>
      </c>
    </row>
    <row r="125">
      <c r="C125" s="113" t="s">
        <v>437</v>
      </c>
      <c r="D125" s="114">
        <v>1977.0</v>
      </c>
      <c r="E125" s="114">
        <v>1922.0</v>
      </c>
      <c r="F125" s="107">
        <v>3899.0</v>
      </c>
      <c r="G125" s="114">
        <v>1667.0</v>
      </c>
      <c r="H125" s="114">
        <v>1740.0</v>
      </c>
      <c r="I125" s="107">
        <v>3407.0</v>
      </c>
      <c r="J125" s="114">
        <v>1485.0</v>
      </c>
      <c r="K125" s="114">
        <v>1517.0</v>
      </c>
      <c r="L125" s="107">
        <v>3002.0</v>
      </c>
      <c r="M125" s="102"/>
      <c r="N125" s="106" t="s">
        <v>455</v>
      </c>
      <c r="O125" s="107">
        <f t="shared" si="1"/>
        <v>23064</v>
      </c>
    </row>
    <row r="126">
      <c r="C126" s="113" t="s">
        <v>439</v>
      </c>
      <c r="D126" s="107">
        <v>309.0</v>
      </c>
      <c r="E126" s="107">
        <v>288.0</v>
      </c>
      <c r="F126" s="107">
        <v>597.0</v>
      </c>
      <c r="G126" s="107">
        <v>268.0</v>
      </c>
      <c r="H126" s="107">
        <v>237.0</v>
      </c>
      <c r="I126" s="107">
        <v>505.0</v>
      </c>
      <c r="J126" s="107">
        <v>247.0</v>
      </c>
      <c r="K126" s="107">
        <v>219.0</v>
      </c>
      <c r="L126" s="107">
        <v>466.0</v>
      </c>
      <c r="M126" s="102"/>
      <c r="N126" s="102"/>
      <c r="O126" s="102"/>
    </row>
    <row r="127">
      <c r="C127" s="113" t="s">
        <v>441</v>
      </c>
      <c r="D127" s="107">
        <v>282.0</v>
      </c>
      <c r="E127" s="107">
        <v>300.0</v>
      </c>
      <c r="F127" s="107">
        <v>582.0</v>
      </c>
      <c r="G127" s="107">
        <v>245.0</v>
      </c>
      <c r="H127" s="107">
        <v>265.0</v>
      </c>
      <c r="I127" s="107">
        <v>510.0</v>
      </c>
      <c r="J127" s="107">
        <v>210.0</v>
      </c>
      <c r="K127" s="107">
        <v>228.0</v>
      </c>
      <c r="L127" s="107">
        <v>438.0</v>
      </c>
      <c r="M127" s="102"/>
      <c r="N127" s="102"/>
      <c r="O127" s="102"/>
    </row>
    <row r="128">
      <c r="C128" s="113" t="s">
        <v>443</v>
      </c>
      <c r="D128" s="107">
        <v>465.0</v>
      </c>
      <c r="E128" s="107">
        <v>490.0</v>
      </c>
      <c r="F128" s="107">
        <v>955.0</v>
      </c>
      <c r="G128" s="107">
        <v>406.0</v>
      </c>
      <c r="H128" s="107">
        <v>399.0</v>
      </c>
      <c r="I128" s="107">
        <v>805.0</v>
      </c>
      <c r="J128" s="107">
        <v>307.0</v>
      </c>
      <c r="K128" s="107">
        <v>350.0</v>
      </c>
      <c r="L128" s="107">
        <v>657.0</v>
      </c>
      <c r="M128" s="102"/>
      <c r="N128" s="102"/>
      <c r="O128" s="102"/>
    </row>
    <row r="129">
      <c r="C129" s="113" t="s">
        <v>445</v>
      </c>
      <c r="D129" s="107">
        <v>311.0</v>
      </c>
      <c r="E129" s="107">
        <v>311.0</v>
      </c>
      <c r="F129" s="107">
        <v>622.0</v>
      </c>
      <c r="G129" s="107">
        <v>279.0</v>
      </c>
      <c r="H129" s="107">
        <v>290.0</v>
      </c>
      <c r="I129" s="107">
        <v>569.0</v>
      </c>
      <c r="J129" s="107">
        <v>222.0</v>
      </c>
      <c r="K129" s="107">
        <v>226.0</v>
      </c>
      <c r="L129" s="107">
        <v>448.0</v>
      </c>
      <c r="M129" s="102"/>
      <c r="N129" s="102"/>
      <c r="O129" s="102"/>
    </row>
    <row r="130">
      <c r="C130" s="113" t="s">
        <v>447</v>
      </c>
      <c r="D130" s="107">
        <v>493.0</v>
      </c>
      <c r="E130" s="107">
        <v>546.0</v>
      </c>
      <c r="F130" s="107">
        <v>1039.0</v>
      </c>
      <c r="G130" s="107">
        <v>441.0</v>
      </c>
      <c r="H130" s="107">
        <v>505.0</v>
      </c>
      <c r="I130" s="107">
        <v>946.0</v>
      </c>
      <c r="J130" s="107">
        <v>361.0</v>
      </c>
      <c r="K130" s="107">
        <v>380.0</v>
      </c>
      <c r="L130" s="107">
        <v>741.0</v>
      </c>
      <c r="M130" s="102"/>
      <c r="N130" s="102"/>
      <c r="O130" s="102"/>
    </row>
    <row r="131">
      <c r="C131" s="113" t="s">
        <v>449</v>
      </c>
      <c r="D131" s="107">
        <v>365.0</v>
      </c>
      <c r="E131" s="107">
        <v>347.0</v>
      </c>
      <c r="F131" s="107">
        <v>712.0</v>
      </c>
      <c r="G131" s="107">
        <v>300.0</v>
      </c>
      <c r="H131" s="107">
        <v>285.0</v>
      </c>
      <c r="I131" s="107">
        <v>585.0</v>
      </c>
      <c r="J131" s="107">
        <v>223.0</v>
      </c>
      <c r="K131" s="107">
        <v>205.0</v>
      </c>
      <c r="L131" s="107">
        <v>428.0</v>
      </c>
      <c r="M131" s="102"/>
      <c r="N131" s="102"/>
      <c r="O131" s="102"/>
    </row>
    <row r="132">
      <c r="C132" s="113" t="s">
        <v>450</v>
      </c>
      <c r="D132" s="114">
        <v>1089.0</v>
      </c>
      <c r="E132" s="114">
        <v>1135.0</v>
      </c>
      <c r="F132" s="107">
        <v>2224.0</v>
      </c>
      <c r="G132" s="114">
        <v>1058.0</v>
      </c>
      <c r="H132" s="114">
        <v>1064.0</v>
      </c>
      <c r="I132" s="107">
        <v>2122.0</v>
      </c>
      <c r="J132" s="107">
        <v>979.0</v>
      </c>
      <c r="K132" s="107">
        <v>949.0</v>
      </c>
      <c r="L132" s="107">
        <v>1928.0</v>
      </c>
      <c r="M132" s="102"/>
      <c r="N132" s="102"/>
      <c r="O132" s="102"/>
    </row>
    <row r="133">
      <c r="C133" s="113" t="s">
        <v>451</v>
      </c>
      <c r="D133" s="107">
        <v>851.0</v>
      </c>
      <c r="E133" s="107">
        <v>841.0</v>
      </c>
      <c r="F133" s="107">
        <v>1692.0</v>
      </c>
      <c r="G133" s="107">
        <v>620.0</v>
      </c>
      <c r="H133" s="107">
        <v>589.0</v>
      </c>
      <c r="I133" s="107">
        <v>1209.0</v>
      </c>
      <c r="J133" s="107">
        <v>523.0</v>
      </c>
      <c r="K133" s="107">
        <v>484.0</v>
      </c>
      <c r="L133" s="107">
        <v>1007.0</v>
      </c>
      <c r="M133" s="102"/>
      <c r="N133" s="102"/>
      <c r="O133" s="102"/>
    </row>
    <row r="134">
      <c r="C134" s="113" t="s">
        <v>452</v>
      </c>
      <c r="D134" s="107">
        <v>305.0</v>
      </c>
      <c r="E134" s="107">
        <v>305.0</v>
      </c>
      <c r="F134" s="107">
        <v>610.0</v>
      </c>
      <c r="G134" s="107">
        <v>213.0</v>
      </c>
      <c r="H134" s="107">
        <v>203.0</v>
      </c>
      <c r="I134" s="107">
        <v>416.0</v>
      </c>
      <c r="J134" s="107">
        <v>180.0</v>
      </c>
      <c r="K134" s="107">
        <v>185.0</v>
      </c>
      <c r="L134" s="107">
        <v>365.0</v>
      </c>
      <c r="M134" s="102"/>
      <c r="N134" s="102"/>
      <c r="O134" s="102"/>
    </row>
    <row r="135">
      <c r="C135" s="113" t="s">
        <v>453</v>
      </c>
      <c r="D135" s="107">
        <v>332.0</v>
      </c>
      <c r="E135" s="107">
        <v>316.0</v>
      </c>
      <c r="F135" s="107">
        <v>648.0</v>
      </c>
      <c r="G135" s="107">
        <v>191.0</v>
      </c>
      <c r="H135" s="107">
        <v>185.0</v>
      </c>
      <c r="I135" s="107">
        <v>376.0</v>
      </c>
      <c r="J135" s="107">
        <v>168.0</v>
      </c>
      <c r="K135" s="107">
        <v>165.0</v>
      </c>
      <c r="L135" s="107">
        <v>333.0</v>
      </c>
      <c r="M135" s="102"/>
      <c r="N135" s="102"/>
      <c r="O135" s="102"/>
    </row>
    <row r="136">
      <c r="C136" s="113" t="s">
        <v>454</v>
      </c>
      <c r="D136" s="107">
        <v>303.0</v>
      </c>
      <c r="E136" s="107">
        <v>303.0</v>
      </c>
      <c r="F136" s="107">
        <v>606.0</v>
      </c>
      <c r="G136" s="107">
        <v>204.0</v>
      </c>
      <c r="H136" s="107">
        <v>235.0</v>
      </c>
      <c r="I136" s="107">
        <v>439.0</v>
      </c>
      <c r="J136" s="107">
        <v>171.0</v>
      </c>
      <c r="K136" s="107">
        <v>191.0</v>
      </c>
      <c r="L136" s="107">
        <v>362.0</v>
      </c>
      <c r="M136" s="102"/>
      <c r="N136" s="102"/>
      <c r="O136" s="102"/>
    </row>
    <row r="137">
      <c r="C137" s="113" t="s">
        <v>455</v>
      </c>
      <c r="D137" s="107">
        <v>765.0</v>
      </c>
      <c r="E137" s="107">
        <v>771.0</v>
      </c>
      <c r="F137" s="107">
        <v>1536.0</v>
      </c>
      <c r="G137" s="107">
        <v>766.0</v>
      </c>
      <c r="H137" s="107">
        <v>701.0</v>
      </c>
      <c r="I137" s="107">
        <v>1467.0</v>
      </c>
      <c r="J137" s="107">
        <v>634.0</v>
      </c>
      <c r="K137" s="107">
        <v>660.0</v>
      </c>
      <c r="L137" s="107">
        <v>1294.0</v>
      </c>
      <c r="M137" s="102"/>
      <c r="N137" s="102"/>
      <c r="O137" s="102"/>
    </row>
    <row r="138">
      <c r="A138" s="108" t="s">
        <v>29</v>
      </c>
      <c r="C138" s="109"/>
      <c r="D138" s="110">
        <v>201216.0</v>
      </c>
      <c r="E138" s="110">
        <v>201919.0</v>
      </c>
      <c r="F138" s="111">
        <v>403135.0</v>
      </c>
      <c r="G138" s="110">
        <v>165459.0</v>
      </c>
      <c r="H138" s="110">
        <v>166251.0</v>
      </c>
      <c r="I138" s="111">
        <v>331710.0</v>
      </c>
      <c r="J138" s="110">
        <v>134825.0</v>
      </c>
      <c r="K138" s="110">
        <v>135348.0</v>
      </c>
      <c r="L138" s="111">
        <v>270173.0</v>
      </c>
      <c r="M138" s="102"/>
      <c r="N138" s="102"/>
      <c r="O138" s="102"/>
    </row>
  </sheetData>
  <mergeCells count="21">
    <mergeCell ref="A1:C1"/>
    <mergeCell ref="D1:F1"/>
    <mergeCell ref="G1:I1"/>
    <mergeCell ref="J1:L1"/>
    <mergeCell ref="A3:A52"/>
    <mergeCell ref="B3:C3"/>
    <mergeCell ref="B4:B52"/>
    <mergeCell ref="B79:B91"/>
    <mergeCell ref="B92:C92"/>
    <mergeCell ref="A92:A122"/>
    <mergeCell ref="A123:A137"/>
    <mergeCell ref="B93:B122"/>
    <mergeCell ref="B124:B137"/>
    <mergeCell ref="A53:A77"/>
    <mergeCell ref="B53:C53"/>
    <mergeCell ref="B54:B68"/>
    <mergeCell ref="B69:B77"/>
    <mergeCell ref="A78:A91"/>
    <mergeCell ref="B78:C78"/>
    <mergeCell ref="B123:C123"/>
    <mergeCell ref="A138:C138"/>
  </mergeCells>
  <drawing r:id="rId1"/>
</worksheet>
</file>